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 GEMINI\Resultado ICL\"/>
    </mc:Choice>
  </mc:AlternateContent>
  <xr:revisionPtr revIDLastSave="0" documentId="13_ncr:1_{E32ECD97-7EDF-435E-A484-AD39FE3149A2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Sheet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G19" i="1"/>
  <c r="K19" i="1"/>
  <c r="L19" i="1"/>
  <c r="M19" i="1"/>
  <c r="N19" i="1"/>
  <c r="O19" i="1"/>
  <c r="P19" i="1"/>
  <c r="AC29" i="1"/>
  <c r="T3" i="2"/>
  <c r="T4" i="2"/>
  <c r="T5" i="2"/>
  <c r="T6" i="2"/>
  <c r="T7" i="2"/>
  <c r="T8" i="2"/>
  <c r="T9" i="2"/>
  <c r="T10" i="2"/>
  <c r="T2" i="2"/>
  <c r="R3" i="2"/>
  <c r="R4" i="2"/>
  <c r="R5" i="2"/>
  <c r="R6" i="2"/>
  <c r="R7" i="2"/>
  <c r="R8" i="2"/>
  <c r="R9" i="2"/>
  <c r="R10" i="2"/>
  <c r="R2" i="2"/>
  <c r="P3" i="2"/>
  <c r="P4" i="2"/>
  <c r="P5" i="2"/>
  <c r="P6" i="2"/>
  <c r="P7" i="2"/>
  <c r="P8" i="2"/>
  <c r="P9" i="2"/>
  <c r="P10" i="2"/>
  <c r="P2" i="2"/>
  <c r="I3" i="2"/>
  <c r="I4" i="2"/>
  <c r="I5" i="2"/>
  <c r="I6" i="2"/>
  <c r="I7" i="2"/>
  <c r="I8" i="2"/>
  <c r="I9" i="2"/>
  <c r="I10" i="2"/>
  <c r="I11" i="2"/>
  <c r="J11" i="2" s="1"/>
  <c r="I12" i="2"/>
  <c r="I13" i="2"/>
  <c r="I14" i="2"/>
  <c r="I15" i="2"/>
  <c r="I16" i="2"/>
  <c r="I17" i="2"/>
  <c r="I18" i="2"/>
  <c r="I19" i="2"/>
  <c r="I20" i="2"/>
  <c r="I21" i="2"/>
  <c r="I22" i="2"/>
  <c r="I23" i="2"/>
  <c r="J23" i="2" s="1"/>
  <c r="I24" i="2"/>
  <c r="I25" i="2"/>
  <c r="I26" i="2"/>
  <c r="Q5" i="2" s="1"/>
  <c r="I27" i="2"/>
  <c r="I28" i="2"/>
  <c r="I29" i="2"/>
  <c r="I30" i="2"/>
  <c r="I31" i="2"/>
  <c r="I32" i="2"/>
  <c r="I33" i="2"/>
  <c r="I34" i="2"/>
  <c r="I35" i="2"/>
  <c r="J35" i="2" s="1"/>
  <c r="I36" i="2"/>
  <c r="I37" i="2"/>
  <c r="I38" i="2"/>
  <c r="I39" i="2"/>
  <c r="I40" i="2"/>
  <c r="I41" i="2"/>
  <c r="I42" i="2"/>
  <c r="I43" i="2"/>
  <c r="I44" i="2"/>
  <c r="I45" i="2"/>
  <c r="I46" i="2"/>
  <c r="I47" i="2"/>
  <c r="J47" i="2" s="1"/>
  <c r="I48" i="2"/>
  <c r="I49" i="2"/>
  <c r="I50" i="2"/>
  <c r="Q8" i="2" s="1"/>
  <c r="I51" i="2"/>
  <c r="I52" i="2"/>
  <c r="I53" i="2"/>
  <c r="I54" i="2"/>
  <c r="I55" i="2"/>
  <c r="I56" i="2"/>
  <c r="I57" i="2"/>
  <c r="I58" i="2"/>
  <c r="I59" i="2"/>
  <c r="J59" i="2" s="1"/>
  <c r="I60" i="2"/>
  <c r="I61" i="2"/>
  <c r="I62" i="2"/>
  <c r="I63" i="2"/>
  <c r="I64" i="2"/>
  <c r="I65" i="2"/>
  <c r="I66" i="2"/>
  <c r="I67" i="2"/>
  <c r="I68" i="2"/>
  <c r="I69" i="2"/>
  <c r="I70" i="2"/>
  <c r="I71" i="2"/>
  <c r="J71" i="2" s="1"/>
  <c r="I72" i="2"/>
  <c r="I73" i="2"/>
  <c r="I2" i="2"/>
  <c r="Q2" i="2" s="1"/>
  <c r="H73" i="2"/>
  <c r="H72" i="2"/>
  <c r="H71" i="2"/>
  <c r="H70" i="2"/>
  <c r="H69" i="2"/>
  <c r="J69" i="2" s="1"/>
  <c r="H68" i="2"/>
  <c r="J68" i="2" s="1"/>
  <c r="H67" i="2"/>
  <c r="J67" i="2" s="1"/>
  <c r="H66" i="2"/>
  <c r="O10" i="2" s="1"/>
  <c r="H65" i="2"/>
  <c r="J65" i="2" s="1"/>
  <c r="H64" i="2"/>
  <c r="J64" i="2" s="1"/>
  <c r="H63" i="2"/>
  <c r="J63" i="2" s="1"/>
  <c r="H62" i="2"/>
  <c r="J62" i="2" s="1"/>
  <c r="H61" i="2"/>
  <c r="H60" i="2"/>
  <c r="H59" i="2"/>
  <c r="H58" i="2"/>
  <c r="H57" i="2"/>
  <c r="J57" i="2" s="1"/>
  <c r="H56" i="2"/>
  <c r="J56" i="2" s="1"/>
  <c r="H55" i="2"/>
  <c r="J55" i="2" s="1"/>
  <c r="H54" i="2"/>
  <c r="J54" i="2" s="1"/>
  <c r="H53" i="2"/>
  <c r="J53" i="2" s="1"/>
  <c r="H52" i="2"/>
  <c r="J52" i="2" s="1"/>
  <c r="H51" i="2"/>
  <c r="J51" i="2" s="1"/>
  <c r="H50" i="2"/>
  <c r="O8" i="2" s="1"/>
  <c r="H49" i="2"/>
  <c r="H48" i="2"/>
  <c r="H47" i="2"/>
  <c r="H46" i="2"/>
  <c r="J46" i="2" s="1"/>
  <c r="H45" i="2"/>
  <c r="J45" i="2" s="1"/>
  <c r="H44" i="2"/>
  <c r="J44" i="2" s="1"/>
  <c r="H43" i="2"/>
  <c r="J43" i="2" s="1"/>
  <c r="H42" i="2"/>
  <c r="J42" i="2" s="1"/>
  <c r="H41" i="2"/>
  <c r="J41" i="2" s="1"/>
  <c r="H40" i="2"/>
  <c r="J40" i="2" s="1"/>
  <c r="H39" i="2"/>
  <c r="J39" i="2" s="1"/>
  <c r="H38" i="2"/>
  <c r="J38" i="2" s="1"/>
  <c r="H37" i="2"/>
  <c r="H36" i="2"/>
  <c r="H35" i="2"/>
  <c r="H34" i="2"/>
  <c r="H33" i="2"/>
  <c r="J33" i="2" s="1"/>
  <c r="H32" i="2"/>
  <c r="J32" i="2" s="1"/>
  <c r="H31" i="2"/>
  <c r="J31" i="2" s="1"/>
  <c r="H30" i="2"/>
  <c r="J30" i="2" s="1"/>
  <c r="H29" i="2"/>
  <c r="J29" i="2" s="1"/>
  <c r="H28" i="2"/>
  <c r="J28" i="2" s="1"/>
  <c r="H27" i="2"/>
  <c r="J27" i="2" s="1"/>
  <c r="H26" i="2"/>
  <c r="J26" i="2" s="1"/>
  <c r="H25" i="2"/>
  <c r="H24" i="2"/>
  <c r="H23" i="2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H12" i="2"/>
  <c r="H11" i="2"/>
  <c r="H10" i="2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H3" i="2"/>
  <c r="J3" i="2" s="1"/>
  <c r="H2" i="2"/>
  <c r="J2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  <c r="AL29" i="1"/>
  <c r="AL28" i="1"/>
  <c r="AL27" i="1"/>
  <c r="AL26" i="1"/>
  <c r="AL25" i="1"/>
  <c r="AL24" i="1"/>
  <c r="AM24" i="1" s="1"/>
  <c r="AL23" i="1"/>
  <c r="AM23" i="1" s="1"/>
  <c r="AL22" i="1"/>
  <c r="AM22" i="1" s="1"/>
  <c r="AL21" i="1"/>
  <c r="AI22" i="1"/>
  <c r="AI23" i="1"/>
  <c r="AI24" i="1"/>
  <c r="AI25" i="1"/>
  <c r="AI26" i="1"/>
  <c r="AI27" i="1"/>
  <c r="AI28" i="1"/>
  <c r="AI29" i="1"/>
  <c r="AM29" i="1" s="1"/>
  <c r="AI21" i="1"/>
  <c r="Z22" i="1"/>
  <c r="Z23" i="1"/>
  <c r="Z24" i="1"/>
  <c r="Z25" i="1"/>
  <c r="Z26" i="1"/>
  <c r="Z27" i="1"/>
  <c r="Z28" i="1"/>
  <c r="Z29" i="1"/>
  <c r="Z21" i="1"/>
  <c r="S2" i="1"/>
  <c r="K2" i="1"/>
  <c r="O2" i="1"/>
  <c r="K26" i="1"/>
  <c r="L26" i="1"/>
  <c r="M26" i="1"/>
  <c r="N26" i="1"/>
  <c r="O26" i="1"/>
  <c r="P26" i="1"/>
  <c r="K27" i="1"/>
  <c r="L27" i="1"/>
  <c r="M27" i="1"/>
  <c r="N27" i="1"/>
  <c r="O27" i="1"/>
  <c r="P27" i="1"/>
  <c r="K28" i="1"/>
  <c r="L28" i="1"/>
  <c r="M28" i="1"/>
  <c r="N28" i="1"/>
  <c r="O28" i="1"/>
  <c r="P28" i="1"/>
  <c r="K29" i="1"/>
  <c r="L29" i="1"/>
  <c r="M29" i="1"/>
  <c r="N29" i="1"/>
  <c r="O29" i="1"/>
  <c r="P29" i="1"/>
  <c r="K30" i="1"/>
  <c r="L30" i="1"/>
  <c r="M30" i="1"/>
  <c r="N30" i="1"/>
  <c r="O30" i="1"/>
  <c r="P30" i="1"/>
  <c r="K31" i="1"/>
  <c r="L31" i="1"/>
  <c r="M31" i="1"/>
  <c r="N31" i="1"/>
  <c r="O31" i="1"/>
  <c r="P31" i="1"/>
  <c r="K32" i="1"/>
  <c r="L32" i="1"/>
  <c r="M32" i="1"/>
  <c r="N32" i="1"/>
  <c r="O32" i="1"/>
  <c r="P32" i="1"/>
  <c r="L25" i="1"/>
  <c r="M25" i="1"/>
  <c r="N25" i="1"/>
  <c r="O25" i="1"/>
  <c r="P25" i="1"/>
  <c r="K25" i="1"/>
  <c r="K15" i="1"/>
  <c r="L15" i="1"/>
  <c r="M15" i="1"/>
  <c r="N15" i="1"/>
  <c r="O15" i="1"/>
  <c r="P15" i="1"/>
  <c r="K16" i="1"/>
  <c r="L16" i="1"/>
  <c r="M16" i="1"/>
  <c r="N16" i="1"/>
  <c r="O16" i="1"/>
  <c r="P16" i="1"/>
  <c r="K17" i="1"/>
  <c r="L17" i="1"/>
  <c r="M17" i="1"/>
  <c r="N17" i="1"/>
  <c r="O17" i="1"/>
  <c r="P17" i="1"/>
  <c r="K18" i="1"/>
  <c r="L18" i="1"/>
  <c r="M18" i="1"/>
  <c r="N18" i="1"/>
  <c r="O18" i="1"/>
  <c r="P18" i="1"/>
  <c r="K20" i="1"/>
  <c r="L20" i="1"/>
  <c r="M20" i="1"/>
  <c r="N20" i="1"/>
  <c r="O20" i="1"/>
  <c r="P20" i="1"/>
  <c r="K21" i="1"/>
  <c r="L21" i="1"/>
  <c r="M21" i="1"/>
  <c r="N21" i="1"/>
  <c r="O21" i="1"/>
  <c r="P21" i="1"/>
  <c r="L14" i="1"/>
  <c r="M14" i="1"/>
  <c r="N14" i="1"/>
  <c r="O14" i="1"/>
  <c r="P14" i="1"/>
  <c r="K14" i="1"/>
  <c r="L2" i="1"/>
  <c r="K3" i="1"/>
  <c r="L3" i="1"/>
  <c r="K4" i="1"/>
  <c r="K5" i="1"/>
  <c r="K6" i="1"/>
  <c r="K7" i="1"/>
  <c r="K8" i="1"/>
  <c r="K9" i="1"/>
  <c r="K10" i="1"/>
  <c r="L10" i="1"/>
  <c r="M10" i="1"/>
  <c r="N10" i="1"/>
  <c r="O10" i="1"/>
  <c r="P10" i="1"/>
  <c r="Q10" i="1"/>
  <c r="R10" i="1"/>
  <c r="S10" i="1"/>
  <c r="M3" i="1"/>
  <c r="N3" i="1"/>
  <c r="O3" i="1"/>
  <c r="P3" i="1"/>
  <c r="Q3" i="1"/>
  <c r="R3" i="1"/>
  <c r="S3" i="1"/>
  <c r="L4" i="1"/>
  <c r="M4" i="1"/>
  <c r="N4" i="1"/>
  <c r="O4" i="1"/>
  <c r="P4" i="1"/>
  <c r="Q4" i="1"/>
  <c r="R4" i="1"/>
  <c r="S4" i="1"/>
  <c r="L5" i="1"/>
  <c r="M5" i="1"/>
  <c r="N5" i="1"/>
  <c r="O5" i="1"/>
  <c r="P5" i="1"/>
  <c r="Q5" i="1"/>
  <c r="R5" i="1"/>
  <c r="S5" i="1"/>
  <c r="L6" i="1"/>
  <c r="M6" i="1"/>
  <c r="N6" i="1"/>
  <c r="O6" i="1"/>
  <c r="P6" i="1"/>
  <c r="Q6" i="1"/>
  <c r="R6" i="1"/>
  <c r="S6" i="1"/>
  <c r="L7" i="1"/>
  <c r="M7" i="1"/>
  <c r="N7" i="1"/>
  <c r="O7" i="1"/>
  <c r="P7" i="1"/>
  <c r="Q7" i="1"/>
  <c r="R7" i="1"/>
  <c r="S7" i="1"/>
  <c r="L8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R2" i="1"/>
  <c r="Q2" i="1"/>
  <c r="P2" i="1"/>
  <c r="N2" i="1"/>
  <c r="M2" i="1"/>
  <c r="AM25" i="1" l="1"/>
  <c r="AM28" i="1"/>
  <c r="AM26" i="1"/>
  <c r="AM21" i="1"/>
  <c r="AC25" i="1"/>
  <c r="AD25" i="1" s="1"/>
  <c r="AC26" i="1"/>
  <c r="AD26" i="1" s="1"/>
  <c r="AC27" i="1"/>
  <c r="AD27" i="1" s="1"/>
  <c r="AC28" i="1"/>
  <c r="AD28" i="1" s="1"/>
  <c r="AC21" i="1"/>
  <c r="AD21" i="1" s="1"/>
  <c r="AC23" i="1"/>
  <c r="AD23" i="1" s="1"/>
  <c r="AC22" i="1"/>
  <c r="AD22" i="1" s="1"/>
  <c r="AC24" i="1"/>
  <c r="AD24" i="1" s="1"/>
  <c r="Q3" i="2"/>
  <c r="Q9" i="2"/>
  <c r="Q6" i="2"/>
  <c r="O3" i="2"/>
  <c r="Q7" i="2"/>
  <c r="Q10" i="2"/>
  <c r="O6" i="2"/>
  <c r="J70" i="2"/>
  <c r="J12" i="2"/>
  <c r="J24" i="2"/>
  <c r="S4" i="2" s="1"/>
  <c r="J36" i="2"/>
  <c r="J48" i="2"/>
  <c r="J60" i="2"/>
  <c r="J72" i="2"/>
  <c r="O9" i="2"/>
  <c r="J13" i="2"/>
  <c r="J25" i="2"/>
  <c r="J37" i="2"/>
  <c r="J49" i="2"/>
  <c r="S7" i="2" s="1"/>
  <c r="J61" i="2"/>
  <c r="J73" i="2"/>
  <c r="O7" i="2"/>
  <c r="O4" i="2"/>
  <c r="S5" i="2"/>
  <c r="S2" i="2"/>
  <c r="Q4" i="2"/>
  <c r="J58" i="2"/>
  <c r="J34" i="2"/>
  <c r="J10" i="2"/>
  <c r="O5" i="2"/>
  <c r="J66" i="2"/>
  <c r="S10" i="2" s="1"/>
  <c r="O2" i="2"/>
  <c r="J50" i="2"/>
  <c r="S8" i="2" s="1"/>
  <c r="AD29" i="1"/>
  <c r="AM27" i="1"/>
  <c r="S3" i="2" l="1"/>
  <c r="S6" i="2"/>
  <c r="S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<sst xmlns="http://schemas.openxmlformats.org/spreadsheetml/2006/main" count="237" uniqueCount="37">
  <si>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</si>
  <si>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</si>
  <si>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</si>
  <si>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</si>
  <si>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</si>
  <si>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</si>
  <si>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</si>
  <si>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</si>
  <si>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</si>
  <si>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</si>
  <si>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</si>
  <si>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</si>
  <si>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</si>
  <si>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</si>
  <si>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</si>
  <si>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</si>
  <si>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</si>
  <si>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</si>
  <si>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</si>
  <si>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</si>
  <si>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</si>
  <si>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</si>
  <si>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</si>
  <si>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</si>
  <si>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</si>
  <si>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</si>
  <si>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</si>
  <si>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</si>
  <si>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</si>
  <si>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</si>
  <si>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</si>
  <si>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</si>
  <si>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</si>
  <si>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</si>
  <si>
    <t>NOTA BRENNO</t>
  </si>
  <si>
    <t>NOTA GEMINI</t>
  </si>
  <si>
    <t>NOTA BRENO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</si>
</sst>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0" fontId="4" fillId="0" borderId="0" xfId="0" applyFont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0" xfId="0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3"/>
  <sheetViews>
    <sheetView zoomScale="76" zoomScaleNormal="121" workbookViewId="0">
      <selection activeCell="P39" sqref="P39"/>
    </sheetView>
  </sheetViews>
  <sheetFormatPr defaultRowHeight="14.4" x14ac:dyDescent="0.3"/>
  <cols>
    <col min="2" max="2" width="18.44140625" customWidth="1"/>
    <col min="7" max="7" width="17" customWidth="1"/>
    <col min="8" max="8" width="13.5546875" customWidth="1"/>
    <col min="10" max="10" width="15" bestFit="1" customWidth="1"/>
    <col min="11" max="11" width="9.44140625" bestFit="1" customWidth="1"/>
    <col min="12" max="12" width="10.44140625" bestFit="1" customWidth="1"/>
    <col min="22" max="22" width="15.77734375" customWidth="1"/>
    <col min="27" max="27" width="15.88671875" customWidth="1"/>
    <col min="30" max="30" width="12.21875" bestFit="1" customWidth="1"/>
    <col min="36" max="36" width="15.33203125" bestFit="1" customWidth="1"/>
  </cols>
  <sheetData>
    <row r="1" spans="1:22" x14ac:dyDescent="0.3">
      <c r="A1" t="e" cm="1">
        <f t="array" ref="A1">+A1:G37H1AA1:G69</f>
        <v>#NAME?</v>
      </c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G1" s="13" t="s">
        <v>35</v>
      </c>
      <c r="H1" s="13" t="s">
        <v>36</v>
      </c>
      <c r="J1" s="1" t="s">
        <v>13</v>
      </c>
      <c r="K1" s="1" t="s">
        <v>14</v>
      </c>
      <c r="L1" s="3" t="s">
        <v>15</v>
      </c>
      <c r="M1" s="11" t="s">
        <v>26</v>
      </c>
      <c r="N1" s="11" t="s">
        <v>23</v>
      </c>
      <c r="O1" s="11" t="s">
        <v>27</v>
      </c>
      <c r="P1" s="11" t="s">
        <v>25</v>
      </c>
      <c r="Q1" s="11" t="s">
        <v>28</v>
      </c>
      <c r="R1" s="11" t="s">
        <v>24</v>
      </c>
      <c r="S1" s="4" t="s">
        <v>16</v>
      </c>
    </row>
    <row r="2" spans="1:22" x14ac:dyDescent="0.3">
      <c r="A2" s="1">
        <v>0</v>
      </c>
      <c r="B2" t="s">
        <v>5</v>
      </c>
      <c r="C2">
        <v>10.323313951492301</v>
      </c>
      <c r="D2">
        <v>1</v>
      </c>
      <c r="E2">
        <v>42.899279594421301</v>
      </c>
      <c r="F2">
        <v>1</v>
      </c>
      <c r="G2">
        <f>IF(F2&lt;3,0,IF(F2=3,4,IF(F2=4,7,10)))</f>
        <v>0</v>
      </c>
      <c r="J2" s="5" t="s">
        <v>5</v>
      </c>
      <c r="K2" s="10">
        <f t="shared" ref="K2:K10" si="0">SUMIFS(C:C,B:B,J2)/COUNTIFS(B:B,J2)</f>
        <v>15.116710126399941</v>
      </c>
      <c r="L2" s="10">
        <f t="shared" ref="L2:L10" si="1">SUMIFS(E:E,B:B,J2)/COUNTIFS(B:B,J2)</f>
        <v>104.29028272628764</v>
      </c>
      <c r="M2" s="12">
        <f t="shared" ref="M2:M10" si="2">COUNTIFS(B:B,J2,F:F,0)/COUNTIFS(B:B,J2)</f>
        <v>0.25</v>
      </c>
      <c r="N2" s="12">
        <f t="shared" ref="N2:N10" si="3">COUNTIFS(B:B,J2,F:F,1)/COUNTIFS(B:B,J2)</f>
        <v>0.375</v>
      </c>
      <c r="O2" s="12">
        <f t="shared" ref="O2:O10" si="4">COUNTIFS(B:B,J2,F:F,2)/COUNTIFS(B:B,J2)</f>
        <v>0</v>
      </c>
      <c r="P2" s="12">
        <f t="shared" ref="P2:P10" si="5">COUNTIFS(B:B,J2,F:F,3)/COUNTIFS(B:B,J2)</f>
        <v>0</v>
      </c>
      <c r="Q2" s="12">
        <f t="shared" ref="Q2:Q10" si="6">COUNTIFS(B:B,J2,F:F,4)/COUNTIFS(B:B,J2)</f>
        <v>0.25</v>
      </c>
      <c r="R2" s="12">
        <f t="shared" ref="R2:R10" si="7">COUNTIFS(B:B,J2,F:F,5)/COUNTIFS(B:B,J2)</f>
        <v>0.125</v>
      </c>
      <c r="S2" s="6">
        <f t="shared" ref="S2:S10" si="8">(COUNTIFS(B:B,J2,F:F,3)*4+COUNTIFS(B:B,J2,F:F,4)*7+COUNTIFS(B:B,J2,F:F,5)*10)/(COUNTIFS(B:B,J2))</f>
        <v>3</v>
      </c>
      <c r="U2" t="s">
        <v>14</v>
      </c>
      <c r="V2" t="s">
        <v>17</v>
      </c>
    </row>
    <row r="3" spans="1:22" x14ac:dyDescent="0.3">
      <c r="A3" s="1">
        <v>1</v>
      </c>
      <c r="B3" t="s">
        <v>5</v>
      </c>
      <c r="C3">
        <v>15.801481008529599</v>
      </c>
      <c r="D3">
        <v>2</v>
      </c>
      <c r="E3">
        <v>109.505144357681</v>
      </c>
      <c r="F3">
        <v>0</v>
      </c>
      <c r="G3">
        <f t="shared" ref="G3:G66" si="9">IF(F3&lt;3,0,IF(F3=3,4,IF(F3=4,7,10)))</f>
        <v>0</v>
      </c>
      <c r="J3" s="5" t="s">
        <v>6</v>
      </c>
      <c r="K3" s="10">
        <f t="shared" si="0"/>
        <v>6.2938203811645499</v>
      </c>
      <c r="L3" s="10">
        <f t="shared" si="1"/>
        <v>82.5782146453856</v>
      </c>
      <c r="M3" s="12">
        <f t="shared" si="2"/>
        <v>0.25</v>
      </c>
      <c r="N3" s="12">
        <f t="shared" si="3"/>
        <v>0</v>
      </c>
      <c r="O3" s="12">
        <f t="shared" si="4"/>
        <v>0.375</v>
      </c>
      <c r="P3" s="12">
        <f t="shared" si="5"/>
        <v>0</v>
      </c>
      <c r="Q3" s="12">
        <f t="shared" si="6"/>
        <v>0</v>
      </c>
      <c r="R3" s="12">
        <f t="shared" si="7"/>
        <v>0.375</v>
      </c>
      <c r="S3" s="6">
        <f t="shared" si="8"/>
        <v>3.75</v>
      </c>
      <c r="U3" t="s">
        <v>15</v>
      </c>
      <c r="V3" t="s">
        <v>18</v>
      </c>
    </row>
    <row r="4" spans="1:22" x14ac:dyDescent="0.3">
      <c r="A4" s="1">
        <v>2</v>
      </c>
      <c r="B4" t="s">
        <v>5</v>
      </c>
      <c r="C4">
        <v>15.801481008529599</v>
      </c>
      <c r="D4">
        <v>3</v>
      </c>
      <c r="E4">
        <v>230.04767465591399</v>
      </c>
      <c r="F4">
        <v>4</v>
      </c>
      <c r="G4">
        <f t="shared" si="9"/>
        <v>7</v>
      </c>
      <c r="J4" s="5" t="s">
        <v>7</v>
      </c>
      <c r="K4" s="10">
        <f t="shared" si="0"/>
        <v>0.57183408737182606</v>
      </c>
      <c r="L4" s="10">
        <f t="shared" si="1"/>
        <v>15.729127764701802</v>
      </c>
      <c r="M4" s="12">
        <f t="shared" si="2"/>
        <v>0</v>
      </c>
      <c r="N4" s="12">
        <f t="shared" si="3"/>
        <v>0.125</v>
      </c>
      <c r="O4" s="12">
        <f t="shared" si="4"/>
        <v>0.125</v>
      </c>
      <c r="P4" s="12">
        <f t="shared" si="5"/>
        <v>0.5</v>
      </c>
      <c r="Q4" s="12">
        <f t="shared" si="6"/>
        <v>0</v>
      </c>
      <c r="R4" s="12">
        <f t="shared" si="7"/>
        <v>0.25</v>
      </c>
      <c r="S4" s="6">
        <f t="shared" si="8"/>
        <v>4.5</v>
      </c>
      <c r="U4" s="2">
        <v>0</v>
      </c>
      <c r="V4" t="s">
        <v>19</v>
      </c>
    </row>
    <row r="5" spans="1:22" x14ac:dyDescent="0.3">
      <c r="A5" s="1">
        <v>3</v>
      </c>
      <c r="B5" t="s">
        <v>5</v>
      </c>
      <c r="C5">
        <v>15.801481008529599</v>
      </c>
      <c r="D5">
        <v>4</v>
      </c>
      <c r="E5">
        <v>223.92705821990899</v>
      </c>
      <c r="F5">
        <v>1</v>
      </c>
      <c r="G5">
        <f t="shared" si="9"/>
        <v>0</v>
      </c>
      <c r="J5" s="5" t="s">
        <v>8</v>
      </c>
      <c r="K5" s="10">
        <f t="shared" si="0"/>
        <v>6.1493330001830993</v>
      </c>
      <c r="L5" s="10">
        <f t="shared" si="1"/>
        <v>48.888395100831936</v>
      </c>
      <c r="M5" s="12">
        <f t="shared" si="2"/>
        <v>0</v>
      </c>
      <c r="N5" s="12">
        <f t="shared" si="3"/>
        <v>0.25</v>
      </c>
      <c r="O5" s="12">
        <f t="shared" si="4"/>
        <v>0.25</v>
      </c>
      <c r="P5" s="12">
        <f t="shared" si="5"/>
        <v>0.125</v>
      </c>
      <c r="Q5" s="12">
        <f t="shared" si="6"/>
        <v>0</v>
      </c>
      <c r="R5" s="12">
        <f t="shared" si="7"/>
        <v>0.375</v>
      </c>
      <c r="S5" s="6">
        <f t="shared" si="8"/>
        <v>4.25</v>
      </c>
      <c r="U5" t="s">
        <v>16</v>
      </c>
      <c r="V5" t="s">
        <v>29</v>
      </c>
    </row>
    <row r="6" spans="1:22" x14ac:dyDescent="0.3">
      <c r="A6" s="1">
        <v>4</v>
      </c>
      <c r="B6" t="s">
        <v>5</v>
      </c>
      <c r="C6">
        <v>15.801481008529599</v>
      </c>
      <c r="D6">
        <v>5</v>
      </c>
      <c r="E6">
        <v>62.060686111450103</v>
      </c>
      <c r="F6">
        <v>0</v>
      </c>
      <c r="G6">
        <f t="shared" si="9"/>
        <v>0</v>
      </c>
      <c r="J6" s="5" t="s">
        <v>9</v>
      </c>
      <c r="K6" s="10">
        <f t="shared" si="0"/>
        <v>29.326041460037199</v>
      </c>
      <c r="L6" s="10">
        <f t="shared" si="1"/>
        <v>16.828137874603236</v>
      </c>
      <c r="M6" s="12">
        <f t="shared" si="2"/>
        <v>0</v>
      </c>
      <c r="N6" s="12">
        <f t="shared" si="3"/>
        <v>0.25</v>
      </c>
      <c r="O6" s="12">
        <f t="shared" si="4"/>
        <v>0.125</v>
      </c>
      <c r="P6" s="12">
        <f t="shared" si="5"/>
        <v>0.375</v>
      </c>
      <c r="Q6" s="12">
        <f t="shared" si="6"/>
        <v>0</v>
      </c>
      <c r="R6" s="12">
        <f t="shared" si="7"/>
        <v>0.25</v>
      </c>
      <c r="S6" s="6">
        <f t="shared" si="8"/>
        <v>4</v>
      </c>
    </row>
    <row r="7" spans="1:22" x14ac:dyDescent="0.3">
      <c r="A7" s="1">
        <v>5</v>
      </c>
      <c r="B7" t="s">
        <v>5</v>
      </c>
      <c r="C7">
        <v>15.801481008529599</v>
      </c>
      <c r="D7">
        <v>6</v>
      </c>
      <c r="E7">
        <v>82.334383010864201</v>
      </c>
      <c r="F7">
        <v>4</v>
      </c>
      <c r="G7">
        <f t="shared" si="9"/>
        <v>7</v>
      </c>
      <c r="J7" s="5" t="s">
        <v>10</v>
      </c>
      <c r="K7" s="10">
        <f t="shared" si="0"/>
        <v>24.744769573211599</v>
      </c>
      <c r="L7" s="10">
        <f t="shared" si="1"/>
        <v>172.52221432328173</v>
      </c>
      <c r="M7" s="12">
        <f t="shared" si="2"/>
        <v>0</v>
      </c>
      <c r="N7" s="12">
        <f t="shared" si="3"/>
        <v>0.25</v>
      </c>
      <c r="O7" s="12">
        <f t="shared" si="4"/>
        <v>0.125</v>
      </c>
      <c r="P7" s="12">
        <f t="shared" si="5"/>
        <v>0.25</v>
      </c>
      <c r="Q7" s="12">
        <f t="shared" si="6"/>
        <v>0.125</v>
      </c>
      <c r="R7" s="12">
        <f t="shared" si="7"/>
        <v>0.25</v>
      </c>
      <c r="S7" s="6">
        <f t="shared" si="8"/>
        <v>4.375</v>
      </c>
    </row>
    <row r="8" spans="1:22" x14ac:dyDescent="0.3">
      <c r="A8" s="1">
        <v>6</v>
      </c>
      <c r="B8" t="s">
        <v>5</v>
      </c>
      <c r="C8">
        <v>15.801481008529599</v>
      </c>
      <c r="D8">
        <v>7</v>
      </c>
      <c r="E8">
        <v>47.487010240554802</v>
      </c>
      <c r="F8">
        <v>5</v>
      </c>
      <c r="G8">
        <f t="shared" si="9"/>
        <v>10</v>
      </c>
      <c r="J8" s="5" t="s">
        <v>11</v>
      </c>
      <c r="K8" s="10">
        <f t="shared" si="0"/>
        <v>21.0900430679321</v>
      </c>
      <c r="L8" s="10">
        <f t="shared" si="1"/>
        <v>189.03942281007713</v>
      </c>
      <c r="M8" s="12">
        <f t="shared" si="2"/>
        <v>0.125</v>
      </c>
      <c r="N8" s="12">
        <f t="shared" si="3"/>
        <v>0.125</v>
      </c>
      <c r="O8" s="12">
        <f t="shared" si="4"/>
        <v>0.125</v>
      </c>
      <c r="P8" s="12">
        <f t="shared" si="5"/>
        <v>0.25</v>
      </c>
      <c r="Q8" s="12">
        <f t="shared" si="6"/>
        <v>0</v>
      </c>
      <c r="R8" s="12">
        <f t="shared" si="7"/>
        <v>0.375</v>
      </c>
      <c r="S8" s="6">
        <f t="shared" si="8"/>
        <v>4.75</v>
      </c>
    </row>
    <row r="9" spans="1:22" x14ac:dyDescent="0.3">
      <c r="A9" s="1">
        <v>7</v>
      </c>
      <c r="B9" t="s">
        <v>5</v>
      </c>
      <c r="C9">
        <v>15.801481008529599</v>
      </c>
      <c r="D9">
        <v>8</v>
      </c>
      <c r="E9">
        <v>36.0610256195068</v>
      </c>
      <c r="F9">
        <v>1</v>
      </c>
      <c r="G9">
        <f t="shared" si="9"/>
        <v>0</v>
      </c>
      <c r="J9" s="5" t="s">
        <v>12</v>
      </c>
      <c r="K9" s="10">
        <f t="shared" si="0"/>
        <v>11.562474727630599</v>
      </c>
      <c r="L9" s="10">
        <f t="shared" si="1"/>
        <v>390.28527048230137</v>
      </c>
      <c r="M9" s="12">
        <f t="shared" si="2"/>
        <v>0</v>
      </c>
      <c r="N9" s="12">
        <f t="shared" si="3"/>
        <v>0.25</v>
      </c>
      <c r="O9" s="12">
        <f t="shared" si="4"/>
        <v>0.125</v>
      </c>
      <c r="P9" s="12">
        <f t="shared" si="5"/>
        <v>0.125</v>
      </c>
      <c r="Q9" s="12">
        <f t="shared" si="6"/>
        <v>0.125</v>
      </c>
      <c r="R9" s="12">
        <f t="shared" si="7"/>
        <v>0.375</v>
      </c>
      <c r="S9" s="6">
        <f t="shared" si="8"/>
        <v>5.125</v>
      </c>
    </row>
    <row r="10" spans="1:22" x14ac:dyDescent="0.3">
      <c r="A10" s="1">
        <v>8</v>
      </c>
      <c r="B10" t="s">
        <v>6</v>
      </c>
      <c r="C10">
        <v>6.2938203811645499</v>
      </c>
      <c r="D10">
        <v>1</v>
      </c>
      <c r="E10">
        <v>64.473093986511202</v>
      </c>
      <c r="F10">
        <v>2</v>
      </c>
      <c r="G10">
        <f t="shared" si="9"/>
        <v>0</v>
      </c>
      <c r="J10" s="5" t="s">
        <v>20</v>
      </c>
      <c r="K10" s="10">
        <f t="shared" si="0"/>
        <v>0</v>
      </c>
      <c r="L10" s="10">
        <f t="shared" si="1"/>
        <v>0.4921026229858389</v>
      </c>
      <c r="M10" s="12">
        <f t="shared" si="2"/>
        <v>0</v>
      </c>
      <c r="N10" s="12">
        <f t="shared" si="3"/>
        <v>0.125</v>
      </c>
      <c r="O10" s="12">
        <f t="shared" si="4"/>
        <v>0.125</v>
      </c>
      <c r="P10" s="12">
        <f t="shared" si="5"/>
        <v>0.25</v>
      </c>
      <c r="Q10" s="12">
        <f t="shared" si="6"/>
        <v>0.375</v>
      </c>
      <c r="R10" s="12">
        <f t="shared" si="7"/>
        <v>0.125</v>
      </c>
      <c r="S10" s="7">
        <f t="shared" si="8"/>
        <v>4.875</v>
      </c>
    </row>
    <row r="11" spans="1:22" x14ac:dyDescent="0.3">
      <c r="A11" s="1">
        <v>9</v>
      </c>
      <c r="B11" t="s">
        <v>6</v>
      </c>
      <c r="C11">
        <v>6.2938203811645499</v>
      </c>
      <c r="D11">
        <v>2</v>
      </c>
      <c r="E11">
        <v>114.10667490959101</v>
      </c>
      <c r="F11">
        <v>2</v>
      </c>
      <c r="G11">
        <f t="shared" si="9"/>
        <v>0</v>
      </c>
      <c r="I11" s="9"/>
    </row>
    <row r="12" spans="1:22" x14ac:dyDescent="0.3">
      <c r="A12" s="1">
        <v>10</v>
      </c>
      <c r="B12" t="s">
        <v>6</v>
      </c>
      <c r="C12">
        <v>6.2938203811645499</v>
      </c>
      <c r="D12">
        <v>3</v>
      </c>
      <c r="E12">
        <v>97.528940916061401</v>
      </c>
      <c r="F12">
        <v>0</v>
      </c>
      <c r="G12">
        <f t="shared" si="9"/>
        <v>0</v>
      </c>
      <c r="K12" s="17" t="s">
        <v>30</v>
      </c>
      <c r="L12" s="17"/>
      <c r="M12" s="17"/>
      <c r="N12" s="17"/>
      <c r="O12" s="17"/>
      <c r="P12" s="17"/>
    </row>
    <row r="13" spans="1:22" x14ac:dyDescent="0.3">
      <c r="A13" s="1">
        <v>11</v>
      </c>
      <c r="B13" t="s">
        <v>6</v>
      </c>
      <c r="C13">
        <v>6.2938203811645499</v>
      </c>
      <c r="D13">
        <v>4</v>
      </c>
      <c r="E13">
        <v>142.55571603774999</v>
      </c>
      <c r="F13">
        <v>2</v>
      </c>
      <c r="G13">
        <f t="shared" si="9"/>
        <v>0</v>
      </c>
      <c r="J13" s="4" t="s">
        <v>21</v>
      </c>
      <c r="K13" s="5">
        <v>0</v>
      </c>
      <c r="L13" s="5">
        <v>1</v>
      </c>
      <c r="M13" s="5">
        <v>2</v>
      </c>
      <c r="N13" s="5">
        <v>3</v>
      </c>
      <c r="O13" s="5">
        <v>4</v>
      </c>
      <c r="P13" s="5">
        <v>5</v>
      </c>
    </row>
    <row r="14" spans="1:22" x14ac:dyDescent="0.3">
      <c r="A14" s="1">
        <v>12</v>
      </c>
      <c r="B14" t="s">
        <v>6</v>
      </c>
      <c r="C14">
        <v>6.2938203811645499</v>
      </c>
      <c r="D14">
        <v>5</v>
      </c>
      <c r="E14">
        <v>66.140823364257798</v>
      </c>
      <c r="F14">
        <v>5</v>
      </c>
      <c r="G14">
        <f t="shared" si="9"/>
        <v>10</v>
      </c>
      <c r="J14" s="5">
        <v>1</v>
      </c>
      <c r="K14" s="8">
        <f t="shared" ref="K14:P21" si="10">COUNTIFS($D:$D,$J14,$F:$F,K$13)/(COUNTIFS($D:$D,$J14))</f>
        <v>0</v>
      </c>
      <c r="L14" s="8">
        <f t="shared" si="10"/>
        <v>0.33333333333333331</v>
      </c>
      <c r="M14" s="8">
        <f t="shared" si="10"/>
        <v>0.55555555555555558</v>
      </c>
      <c r="N14" s="8">
        <f t="shared" si="10"/>
        <v>0.1111111111111111</v>
      </c>
      <c r="O14" s="8">
        <f t="shared" si="10"/>
        <v>0</v>
      </c>
      <c r="P14" s="8">
        <f t="shared" si="10"/>
        <v>0</v>
      </c>
    </row>
    <row r="15" spans="1:22" x14ac:dyDescent="0.3">
      <c r="A15" s="1">
        <v>13</v>
      </c>
      <c r="B15" t="s">
        <v>6</v>
      </c>
      <c r="C15">
        <v>6.2938203811645499</v>
      </c>
      <c r="D15">
        <v>6</v>
      </c>
      <c r="E15">
        <v>64.437152385711599</v>
      </c>
      <c r="F15">
        <v>5</v>
      </c>
      <c r="G15">
        <f t="shared" si="9"/>
        <v>10</v>
      </c>
      <c r="J15" s="5">
        <v>2</v>
      </c>
      <c r="K15" s="8">
        <f t="shared" si="10"/>
        <v>0.1111111111111111</v>
      </c>
      <c r="L15" s="8">
        <f t="shared" si="10"/>
        <v>0</v>
      </c>
      <c r="M15" s="8">
        <f t="shared" si="10"/>
        <v>0.33333333333333331</v>
      </c>
      <c r="N15" s="8">
        <f t="shared" si="10"/>
        <v>0.44444444444444442</v>
      </c>
      <c r="O15" s="8">
        <f t="shared" si="10"/>
        <v>0</v>
      </c>
      <c r="P15" s="8">
        <f t="shared" si="10"/>
        <v>0.1111111111111111</v>
      </c>
    </row>
    <row r="16" spans="1:22" x14ac:dyDescent="0.3">
      <c r="A16" s="1">
        <v>14</v>
      </c>
      <c r="B16" t="s">
        <v>6</v>
      </c>
      <c r="C16">
        <v>6.2938203811645499</v>
      </c>
      <c r="D16">
        <v>7</v>
      </c>
      <c r="E16">
        <v>68.959645748138399</v>
      </c>
      <c r="F16">
        <v>5</v>
      </c>
      <c r="G16">
        <f t="shared" si="9"/>
        <v>10</v>
      </c>
      <c r="J16" s="5">
        <v>3</v>
      </c>
      <c r="K16" s="8">
        <f t="shared" si="10"/>
        <v>0.22222222222222221</v>
      </c>
      <c r="L16" s="8">
        <f t="shared" si="10"/>
        <v>0</v>
      </c>
      <c r="M16" s="8">
        <f t="shared" si="10"/>
        <v>0</v>
      </c>
      <c r="N16" s="8">
        <f t="shared" si="10"/>
        <v>0.66666666666666663</v>
      </c>
      <c r="O16" s="8">
        <f t="shared" si="10"/>
        <v>0.1111111111111111</v>
      </c>
      <c r="P16" s="8">
        <f t="shared" si="10"/>
        <v>0</v>
      </c>
    </row>
    <row r="17" spans="1:39" x14ac:dyDescent="0.3">
      <c r="A17" s="1">
        <v>15</v>
      </c>
      <c r="B17" t="s">
        <v>6</v>
      </c>
      <c r="C17">
        <v>6.2938203811645499</v>
      </c>
      <c r="D17">
        <v>8</v>
      </c>
      <c r="E17">
        <v>42.423669815063398</v>
      </c>
      <c r="F17">
        <v>0</v>
      </c>
      <c r="G17">
        <f t="shared" si="9"/>
        <v>0</v>
      </c>
      <c r="J17" s="5">
        <v>4</v>
      </c>
      <c r="K17" s="8">
        <f t="shared" si="10"/>
        <v>0</v>
      </c>
      <c r="L17" s="8">
        <f t="shared" si="10"/>
        <v>0.33333333333333331</v>
      </c>
      <c r="M17" s="8">
        <f t="shared" si="10"/>
        <v>0.22222222222222221</v>
      </c>
      <c r="N17" s="8">
        <f t="shared" si="10"/>
        <v>0.1111111111111111</v>
      </c>
      <c r="O17" s="8">
        <f t="shared" si="10"/>
        <v>0.1111111111111111</v>
      </c>
      <c r="P17" s="8">
        <f t="shared" si="10"/>
        <v>0.22222222222222221</v>
      </c>
    </row>
    <row r="18" spans="1:39" x14ac:dyDescent="0.3">
      <c r="A18" s="1">
        <v>16</v>
      </c>
      <c r="B18" t="s">
        <v>7</v>
      </c>
      <c r="C18">
        <v>0.57183408737182595</v>
      </c>
      <c r="D18">
        <v>1</v>
      </c>
      <c r="E18">
        <v>19.9783871173858</v>
      </c>
      <c r="F18">
        <v>2</v>
      </c>
      <c r="G18">
        <f t="shared" si="9"/>
        <v>0</v>
      </c>
      <c r="J18" s="5">
        <v>5</v>
      </c>
      <c r="K18" s="8">
        <f t="shared" si="10"/>
        <v>0.1111111111111111</v>
      </c>
      <c r="L18" s="8">
        <f t="shared" si="10"/>
        <v>0</v>
      </c>
      <c r="M18" s="8">
        <f t="shared" si="10"/>
        <v>0</v>
      </c>
      <c r="N18" s="8">
        <f t="shared" si="10"/>
        <v>0.1111111111111111</v>
      </c>
      <c r="O18" s="8">
        <f t="shared" si="10"/>
        <v>0</v>
      </c>
      <c r="P18" s="8">
        <f t="shared" si="10"/>
        <v>0.77777777777777779</v>
      </c>
    </row>
    <row r="19" spans="1:39" x14ac:dyDescent="0.3">
      <c r="A19" s="1">
        <v>17</v>
      </c>
      <c r="B19" t="s">
        <v>7</v>
      </c>
      <c r="C19">
        <v>0.57183408737182595</v>
      </c>
      <c r="D19">
        <v>2</v>
      </c>
      <c r="E19">
        <v>20.872923374176001</v>
      </c>
      <c r="F19">
        <v>3</v>
      </c>
      <c r="G19">
        <f t="shared" si="9"/>
        <v>4</v>
      </c>
      <c r="J19" s="5">
        <v>6</v>
      </c>
      <c r="K19" s="8">
        <f t="shared" si="10"/>
        <v>0</v>
      </c>
      <c r="L19" s="8">
        <f t="shared" si="10"/>
        <v>0</v>
      </c>
      <c r="M19" s="8">
        <f t="shared" si="10"/>
        <v>0.1111111111111111</v>
      </c>
      <c r="N19" s="8">
        <f t="shared" si="10"/>
        <v>0</v>
      </c>
      <c r="O19" s="8">
        <f t="shared" si="10"/>
        <v>0.1111111111111111</v>
      </c>
      <c r="P19" s="8">
        <f t="shared" si="10"/>
        <v>0.77777777777777779</v>
      </c>
      <c r="W19" s="18" t="s">
        <v>32</v>
      </c>
      <c r="X19" s="19"/>
      <c r="Y19" s="20"/>
      <c r="AF19" s="18" t="s">
        <v>33</v>
      </c>
      <c r="AG19" s="19"/>
      <c r="AH19" s="20"/>
    </row>
    <row r="20" spans="1:39" x14ac:dyDescent="0.3">
      <c r="A20" s="1">
        <v>18</v>
      </c>
      <c r="B20" t="s">
        <v>7</v>
      </c>
      <c r="C20">
        <v>0.57183408737182595</v>
      </c>
      <c r="D20">
        <v>3</v>
      </c>
      <c r="E20">
        <v>23.001330614089898</v>
      </c>
      <c r="F20">
        <v>3</v>
      </c>
      <c r="G20">
        <f t="shared" si="9"/>
        <v>4</v>
      </c>
      <c r="J20" s="5">
        <v>7</v>
      </c>
      <c r="K20" s="8">
        <f t="shared" si="10"/>
        <v>0</v>
      </c>
      <c r="L20" s="8">
        <f t="shared" si="10"/>
        <v>0.22222222222222221</v>
      </c>
      <c r="M20" s="8">
        <f t="shared" si="10"/>
        <v>0</v>
      </c>
      <c r="N20" s="8">
        <f t="shared" si="10"/>
        <v>0.1111111111111111</v>
      </c>
      <c r="O20" s="8">
        <f t="shared" si="10"/>
        <v>0.33333333333333331</v>
      </c>
      <c r="P20" s="8">
        <f t="shared" si="10"/>
        <v>0.33333333333333331</v>
      </c>
      <c r="V20" s="1" t="s">
        <v>13</v>
      </c>
      <c r="W20" s="1" t="s">
        <v>14</v>
      </c>
      <c r="X20" s="3" t="s">
        <v>15</v>
      </c>
      <c r="Y20" s="4" t="s">
        <v>16</v>
      </c>
      <c r="AA20" s="5" t="s">
        <v>13</v>
      </c>
      <c r="AB20" s="5" t="s">
        <v>16</v>
      </c>
      <c r="AF20" s="1" t="s">
        <v>14</v>
      </c>
      <c r="AG20" s="3" t="s">
        <v>15</v>
      </c>
      <c r="AH20" s="4" t="s">
        <v>16</v>
      </c>
      <c r="AJ20" s="5" t="s">
        <v>13</v>
      </c>
      <c r="AK20" s="5" t="s">
        <v>16</v>
      </c>
    </row>
    <row r="21" spans="1:39" x14ac:dyDescent="0.3">
      <c r="A21" s="1">
        <v>19</v>
      </c>
      <c r="B21" t="s">
        <v>7</v>
      </c>
      <c r="C21">
        <v>0.57183408737182595</v>
      </c>
      <c r="D21">
        <v>4</v>
      </c>
      <c r="E21">
        <v>21.948718309402398</v>
      </c>
      <c r="F21">
        <v>1</v>
      </c>
      <c r="G21">
        <f t="shared" si="9"/>
        <v>0</v>
      </c>
      <c r="J21" s="5">
        <v>8</v>
      </c>
      <c r="K21" s="8">
        <f t="shared" si="10"/>
        <v>0.1111111111111111</v>
      </c>
      <c r="L21" s="8">
        <f t="shared" si="10"/>
        <v>0.66666666666666663</v>
      </c>
      <c r="M21" s="8">
        <f t="shared" si="10"/>
        <v>0</v>
      </c>
      <c r="N21" s="8">
        <f t="shared" si="10"/>
        <v>0.1111111111111111</v>
      </c>
      <c r="O21" s="8">
        <f t="shared" si="10"/>
        <v>0.1111111111111111</v>
      </c>
      <c r="P21" s="8">
        <f t="shared" si="10"/>
        <v>0</v>
      </c>
      <c r="V21" s="5" t="s">
        <v>5</v>
      </c>
      <c r="W21" s="10">
        <v>15.116710126399941</v>
      </c>
      <c r="X21" s="10">
        <v>104.29028272628764</v>
      </c>
      <c r="Y21" s="6">
        <v>2.625</v>
      </c>
      <c r="Z21" s="16">
        <f t="shared" ref="Z21:Z29" si="11">RANK(Y21,Y$21:Y$29)</f>
        <v>9</v>
      </c>
      <c r="AA21" s="5" t="s">
        <v>5</v>
      </c>
      <c r="AB21" s="6">
        <v>3</v>
      </c>
      <c r="AC21" s="16">
        <f t="shared" ref="AC21:AC29" si="12">RANK(AB21,AB$21:AB$29)</f>
        <v>9</v>
      </c>
      <c r="AD21" s="5" t="b">
        <f>AC21=Z21</f>
        <v>1</v>
      </c>
      <c r="AF21" s="10">
        <v>7.9423277499999996</v>
      </c>
      <c r="AG21" s="10">
        <v>39.296003250000005</v>
      </c>
      <c r="AH21" s="6">
        <v>4.25</v>
      </c>
      <c r="AI21" s="16">
        <f t="shared" ref="AI21:AI29" si="13">RANK(AH21,AH$21:AH$29)</f>
        <v>9</v>
      </c>
      <c r="AJ21" s="5" t="s">
        <v>5</v>
      </c>
      <c r="AK21" s="6">
        <v>5.25</v>
      </c>
      <c r="AL21" s="16">
        <f t="shared" ref="AL21:AL29" si="14">RANK(AK21,AK$21:AK$29)</f>
        <v>6</v>
      </c>
      <c r="AM21" s="5" t="b">
        <f>AL21=AI21</f>
        <v>0</v>
      </c>
    </row>
    <row r="22" spans="1:39" x14ac:dyDescent="0.3">
      <c r="A22" s="1">
        <v>20</v>
      </c>
      <c r="B22" t="s">
        <v>7</v>
      </c>
      <c r="C22">
        <v>0.57183408737182595</v>
      </c>
      <c r="D22">
        <v>5</v>
      </c>
      <c r="E22">
        <v>8.2534608840942294</v>
      </c>
      <c r="F22">
        <v>5</v>
      </c>
      <c r="G22">
        <f t="shared" si="9"/>
        <v>10</v>
      </c>
      <c r="V22" s="5" t="s">
        <v>6</v>
      </c>
      <c r="W22" s="10">
        <v>6.2938203811645499</v>
      </c>
      <c r="X22" s="10">
        <v>82.5782146453856</v>
      </c>
      <c r="Y22" s="6">
        <v>5.5</v>
      </c>
      <c r="Z22" s="16">
        <f t="shared" si="11"/>
        <v>7</v>
      </c>
      <c r="AA22" s="5" t="s">
        <v>6</v>
      </c>
      <c r="AB22" s="6">
        <v>3.75</v>
      </c>
      <c r="AC22" s="16">
        <f t="shared" si="12"/>
        <v>8</v>
      </c>
      <c r="AD22" s="5" t="b">
        <f t="shared" ref="AD22:AD29" si="15">AC22=Z22</f>
        <v>0</v>
      </c>
      <c r="AF22" s="10">
        <v>1.5915169999999998</v>
      </c>
      <c r="AG22" s="10">
        <v>68.876696375000009</v>
      </c>
      <c r="AH22" s="6">
        <v>5.25</v>
      </c>
      <c r="AI22" s="16">
        <f t="shared" si="13"/>
        <v>7</v>
      </c>
      <c r="AJ22" s="5" t="s">
        <v>6</v>
      </c>
      <c r="AK22" s="6">
        <v>3.5</v>
      </c>
      <c r="AL22" s="16">
        <f t="shared" si="14"/>
        <v>9</v>
      </c>
      <c r="AM22" s="5" t="b">
        <f t="shared" ref="AM22:AM29" si="16">AL22=AI22</f>
        <v>0</v>
      </c>
    </row>
    <row r="23" spans="1:39" x14ac:dyDescent="0.3">
      <c r="A23" s="1">
        <v>21</v>
      </c>
      <c r="B23" t="s">
        <v>7</v>
      </c>
      <c r="C23">
        <v>0.57183408737182595</v>
      </c>
      <c r="D23">
        <v>6</v>
      </c>
      <c r="E23">
        <v>10.8679308891296</v>
      </c>
      <c r="F23">
        <v>5</v>
      </c>
      <c r="G23">
        <f t="shared" si="9"/>
        <v>10</v>
      </c>
      <c r="K23" s="17" t="s">
        <v>31</v>
      </c>
      <c r="L23" s="17"/>
      <c r="M23" s="17"/>
      <c r="N23" s="17"/>
      <c r="O23" s="17"/>
      <c r="P23" s="17"/>
      <c r="V23" s="5" t="s">
        <v>7</v>
      </c>
      <c r="W23" s="10">
        <v>0.57183408737182606</v>
      </c>
      <c r="X23" s="10">
        <v>15.729127764701802</v>
      </c>
      <c r="Y23" s="6">
        <v>6.75</v>
      </c>
      <c r="Z23" s="16">
        <f t="shared" si="11"/>
        <v>3</v>
      </c>
      <c r="AA23" s="5" t="s">
        <v>7</v>
      </c>
      <c r="AB23" s="6">
        <v>4.5</v>
      </c>
      <c r="AC23" s="16">
        <f t="shared" si="12"/>
        <v>4</v>
      </c>
      <c r="AD23" s="5" t="b">
        <f t="shared" si="15"/>
        <v>0</v>
      </c>
      <c r="AF23" s="10">
        <v>7.7799529999999999</v>
      </c>
      <c r="AG23" s="10">
        <v>17.080232625000001</v>
      </c>
      <c r="AH23" s="6">
        <v>8</v>
      </c>
      <c r="AI23" s="16">
        <f t="shared" si="13"/>
        <v>6</v>
      </c>
      <c r="AJ23" s="5" t="s">
        <v>7</v>
      </c>
      <c r="AK23" s="6">
        <v>7.25</v>
      </c>
      <c r="AL23" s="16">
        <f t="shared" si="14"/>
        <v>2</v>
      </c>
      <c r="AM23" s="5" t="b">
        <f t="shared" si="16"/>
        <v>0</v>
      </c>
    </row>
    <row r="24" spans="1:39" x14ac:dyDescent="0.3">
      <c r="A24" s="1">
        <v>22</v>
      </c>
      <c r="B24" t="s">
        <v>7</v>
      </c>
      <c r="C24">
        <v>0.57183408737182595</v>
      </c>
      <c r="D24">
        <v>7</v>
      </c>
      <c r="E24">
        <v>13.197674751281699</v>
      </c>
      <c r="F24">
        <v>3</v>
      </c>
      <c r="G24">
        <f t="shared" si="9"/>
        <v>4</v>
      </c>
      <c r="J24" s="4" t="s">
        <v>21</v>
      </c>
      <c r="K24" s="5">
        <v>0</v>
      </c>
      <c r="L24" s="5">
        <v>1</v>
      </c>
      <c r="M24" s="5">
        <v>2</v>
      </c>
      <c r="N24" s="5">
        <v>3</v>
      </c>
      <c r="O24" s="5">
        <v>4</v>
      </c>
      <c r="P24" s="5">
        <v>5</v>
      </c>
      <c r="V24" s="5" t="s">
        <v>8</v>
      </c>
      <c r="W24" s="10">
        <v>6.1493330001830993</v>
      </c>
      <c r="X24" s="10">
        <v>48.888395100831936</v>
      </c>
      <c r="Y24" s="6">
        <v>6</v>
      </c>
      <c r="Z24" s="16">
        <f t="shared" si="11"/>
        <v>5</v>
      </c>
      <c r="AA24" s="5" t="s">
        <v>8</v>
      </c>
      <c r="AB24" s="6">
        <v>4.25</v>
      </c>
      <c r="AC24" s="16">
        <f t="shared" si="12"/>
        <v>6</v>
      </c>
      <c r="AD24" s="5" t="b">
        <f t="shared" si="15"/>
        <v>0</v>
      </c>
      <c r="AF24" s="10">
        <v>8.4192940000000007</v>
      </c>
      <c r="AG24" s="10">
        <v>21.346556875000001</v>
      </c>
      <c r="AH24" s="6">
        <v>9.625</v>
      </c>
      <c r="AI24" s="16">
        <f t="shared" si="13"/>
        <v>1</v>
      </c>
      <c r="AJ24" s="5" t="s">
        <v>8</v>
      </c>
      <c r="AK24" s="6">
        <v>8.5</v>
      </c>
      <c r="AL24" s="16">
        <f t="shared" si="14"/>
        <v>1</v>
      </c>
      <c r="AM24" s="5" t="b">
        <f t="shared" si="16"/>
        <v>1</v>
      </c>
    </row>
    <row r="25" spans="1:39" x14ac:dyDescent="0.3">
      <c r="A25" s="1">
        <v>23</v>
      </c>
      <c r="B25" t="s">
        <v>7</v>
      </c>
      <c r="C25">
        <v>0.57183408737182595</v>
      </c>
      <c r="D25">
        <v>8</v>
      </c>
      <c r="E25">
        <v>7.7125961780548096</v>
      </c>
      <c r="F25">
        <v>3</v>
      </c>
      <c r="G25">
        <f t="shared" si="9"/>
        <v>4</v>
      </c>
      <c r="J25" s="5">
        <v>1</v>
      </c>
      <c r="K25" s="8">
        <f t="shared" ref="K25:P32" si="17">(COUNTIFS($D:$D,$J25,$F:$F,K$13)-COUNTIFS($D:$D,$J25,$F:$F,K$13,$B:$B,"FAISS"))/(COUNTIFS($D:$D,$J25)-1)</f>
        <v>0</v>
      </c>
      <c r="L25" s="8">
        <f t="shared" si="17"/>
        <v>0.25</v>
      </c>
      <c r="M25" s="8">
        <f t="shared" si="17"/>
        <v>0.625</v>
      </c>
      <c r="N25" s="8">
        <f t="shared" si="17"/>
        <v>0.125</v>
      </c>
      <c r="O25" s="8">
        <f t="shared" si="17"/>
        <v>0</v>
      </c>
      <c r="P25" s="8">
        <f t="shared" si="17"/>
        <v>0</v>
      </c>
      <c r="V25" s="5" t="s">
        <v>9</v>
      </c>
      <c r="W25" s="10">
        <v>29.326041460037199</v>
      </c>
      <c r="X25" s="10">
        <v>16.828137874603236</v>
      </c>
      <c r="Y25" s="6">
        <v>6.75</v>
      </c>
      <c r="Z25" s="16">
        <f t="shared" si="11"/>
        <v>3</v>
      </c>
      <c r="AA25" s="5" t="s">
        <v>9</v>
      </c>
      <c r="AB25" s="6">
        <v>4</v>
      </c>
      <c r="AC25" s="16">
        <f t="shared" si="12"/>
        <v>7</v>
      </c>
      <c r="AD25" s="5" t="b">
        <f t="shared" si="15"/>
        <v>0</v>
      </c>
      <c r="AF25" s="10">
        <v>50.89773000000001</v>
      </c>
      <c r="AG25" s="10">
        <v>5.4723349999999993</v>
      </c>
      <c r="AH25" s="6">
        <v>9.625</v>
      </c>
      <c r="AI25" s="16">
        <f t="shared" si="13"/>
        <v>1</v>
      </c>
      <c r="AJ25" s="5" t="s">
        <v>9</v>
      </c>
      <c r="AK25" s="6">
        <v>5.25</v>
      </c>
      <c r="AL25" s="16">
        <f t="shared" si="14"/>
        <v>6</v>
      </c>
      <c r="AM25" s="5" t="b">
        <f t="shared" si="16"/>
        <v>0</v>
      </c>
    </row>
    <row r="26" spans="1:39" x14ac:dyDescent="0.3">
      <c r="A26" s="1">
        <v>24</v>
      </c>
      <c r="B26" t="s">
        <v>8</v>
      </c>
      <c r="C26">
        <v>6.1493330001831001</v>
      </c>
      <c r="D26">
        <v>1</v>
      </c>
      <c r="E26">
        <v>50.9238665103912</v>
      </c>
      <c r="F26">
        <v>2</v>
      </c>
      <c r="G26">
        <f t="shared" si="9"/>
        <v>0</v>
      </c>
      <c r="J26" s="5">
        <v>2</v>
      </c>
      <c r="K26" s="8">
        <f t="shared" si="17"/>
        <v>0.125</v>
      </c>
      <c r="L26" s="8">
        <f t="shared" si="17"/>
        <v>0</v>
      </c>
      <c r="M26" s="8">
        <f t="shared" si="17"/>
        <v>0.375</v>
      </c>
      <c r="N26" s="8">
        <f t="shared" si="17"/>
        <v>0.5</v>
      </c>
      <c r="O26" s="8">
        <f t="shared" si="17"/>
        <v>0</v>
      </c>
      <c r="P26" s="8">
        <f t="shared" si="17"/>
        <v>0</v>
      </c>
      <c r="V26" s="5" t="s">
        <v>10</v>
      </c>
      <c r="W26" s="10">
        <v>24.744769573211599</v>
      </c>
      <c r="X26" s="10">
        <v>172.52221432328173</v>
      </c>
      <c r="Y26" s="6">
        <v>7.25</v>
      </c>
      <c r="Z26" s="16">
        <f t="shared" si="11"/>
        <v>1</v>
      </c>
      <c r="AA26" s="5" t="s">
        <v>10</v>
      </c>
      <c r="AB26" s="6">
        <v>4.375</v>
      </c>
      <c r="AC26" s="16">
        <f t="shared" si="12"/>
        <v>5</v>
      </c>
      <c r="AD26" s="5" t="b">
        <f t="shared" si="15"/>
        <v>0</v>
      </c>
      <c r="AF26" s="10">
        <v>16.371701000000002</v>
      </c>
      <c r="AG26" s="10">
        <v>73.259225999999998</v>
      </c>
      <c r="AH26" s="6">
        <v>9.625</v>
      </c>
      <c r="AI26" s="16">
        <f t="shared" si="13"/>
        <v>1</v>
      </c>
      <c r="AJ26" s="5" t="s">
        <v>10</v>
      </c>
      <c r="AK26" s="6">
        <v>6.75</v>
      </c>
      <c r="AL26" s="16">
        <f t="shared" si="14"/>
        <v>4</v>
      </c>
      <c r="AM26" s="5" t="b">
        <f t="shared" si="16"/>
        <v>0</v>
      </c>
    </row>
    <row r="27" spans="1:39" x14ac:dyDescent="0.3">
      <c r="A27" s="1">
        <v>25</v>
      </c>
      <c r="B27" t="s">
        <v>8</v>
      </c>
      <c r="C27">
        <v>6.1493330001831001</v>
      </c>
      <c r="D27">
        <v>2</v>
      </c>
      <c r="E27">
        <v>47.444764137268002</v>
      </c>
      <c r="F27">
        <v>2</v>
      </c>
      <c r="G27">
        <f t="shared" si="9"/>
        <v>0</v>
      </c>
      <c r="J27" s="5">
        <v>3</v>
      </c>
      <c r="K27" s="8">
        <f t="shared" si="17"/>
        <v>0.25</v>
      </c>
      <c r="L27" s="8">
        <f t="shared" si="17"/>
        <v>0</v>
      </c>
      <c r="M27" s="8">
        <f t="shared" si="17"/>
        <v>0</v>
      </c>
      <c r="N27" s="8">
        <f t="shared" si="17"/>
        <v>0.625</v>
      </c>
      <c r="O27" s="8">
        <f t="shared" si="17"/>
        <v>0.125</v>
      </c>
      <c r="P27" s="8">
        <f t="shared" si="17"/>
        <v>0</v>
      </c>
      <c r="V27" s="5" t="s">
        <v>11</v>
      </c>
      <c r="W27" s="10">
        <v>21.0900430679321</v>
      </c>
      <c r="X27" s="10">
        <v>189.03942281007713</v>
      </c>
      <c r="Y27" s="6">
        <v>5.875</v>
      </c>
      <c r="Z27" s="16">
        <f t="shared" si="11"/>
        <v>6</v>
      </c>
      <c r="AA27" s="5" t="s">
        <v>11</v>
      </c>
      <c r="AB27" s="6">
        <v>4.75</v>
      </c>
      <c r="AC27" s="16">
        <f t="shared" si="12"/>
        <v>3</v>
      </c>
      <c r="AD27" s="5" t="b">
        <f t="shared" si="15"/>
        <v>0</v>
      </c>
      <c r="AF27" s="10">
        <v>38.271470999999998</v>
      </c>
      <c r="AG27" s="10">
        <v>191.752763125</v>
      </c>
      <c r="AH27" s="6">
        <v>8.75</v>
      </c>
      <c r="AI27" s="16">
        <f t="shared" si="13"/>
        <v>5</v>
      </c>
      <c r="AJ27" s="5" t="s">
        <v>11</v>
      </c>
      <c r="AK27" s="6">
        <v>7.25</v>
      </c>
      <c r="AL27" s="16">
        <f t="shared" si="14"/>
        <v>2</v>
      </c>
      <c r="AM27" s="5" t="b">
        <f t="shared" si="16"/>
        <v>0</v>
      </c>
    </row>
    <row r="28" spans="1:39" x14ac:dyDescent="0.3">
      <c r="A28" s="1">
        <v>26</v>
      </c>
      <c r="B28" t="s">
        <v>8</v>
      </c>
      <c r="C28">
        <v>6.1493330001831001</v>
      </c>
      <c r="D28">
        <v>3</v>
      </c>
      <c r="E28">
        <v>56.508896827697697</v>
      </c>
      <c r="F28">
        <v>3</v>
      </c>
      <c r="G28">
        <f t="shared" si="9"/>
        <v>4</v>
      </c>
      <c r="J28" s="5">
        <v>4</v>
      </c>
      <c r="K28" s="8">
        <f t="shared" si="17"/>
        <v>0</v>
      </c>
      <c r="L28" s="8">
        <f t="shared" si="17"/>
        <v>0.375</v>
      </c>
      <c r="M28" s="8">
        <f t="shared" si="17"/>
        <v>0.25</v>
      </c>
      <c r="N28" s="8">
        <f t="shared" si="17"/>
        <v>0.125</v>
      </c>
      <c r="O28" s="8">
        <f t="shared" si="17"/>
        <v>0</v>
      </c>
      <c r="P28" s="8">
        <f t="shared" si="17"/>
        <v>0.25</v>
      </c>
      <c r="V28" s="5" t="s">
        <v>12</v>
      </c>
      <c r="W28" s="10">
        <v>11.562474727630599</v>
      </c>
      <c r="X28" s="10">
        <v>390.28527048230137</v>
      </c>
      <c r="Y28" s="6">
        <v>7.25</v>
      </c>
      <c r="Z28" s="16">
        <f t="shared" si="11"/>
        <v>1</v>
      </c>
      <c r="AA28" s="5" t="s">
        <v>12</v>
      </c>
      <c r="AB28" s="6">
        <v>5.125</v>
      </c>
      <c r="AC28" s="16">
        <f t="shared" si="12"/>
        <v>1</v>
      </c>
      <c r="AD28" s="5" t="b">
        <f t="shared" si="15"/>
        <v>1</v>
      </c>
      <c r="AF28" s="10">
        <v>15.822520999999998</v>
      </c>
      <c r="AG28" s="10">
        <v>83.757822374999989</v>
      </c>
      <c r="AH28" s="6">
        <v>9.625</v>
      </c>
      <c r="AI28" s="16">
        <f t="shared" si="13"/>
        <v>1</v>
      </c>
      <c r="AJ28" s="5" t="s">
        <v>12</v>
      </c>
      <c r="AK28" s="6">
        <v>6.75</v>
      </c>
      <c r="AL28" s="16">
        <f t="shared" si="14"/>
        <v>4</v>
      </c>
      <c r="AM28" s="5" t="b">
        <f t="shared" si="16"/>
        <v>0</v>
      </c>
    </row>
    <row r="29" spans="1:39" x14ac:dyDescent="0.3">
      <c r="A29" s="1">
        <v>27</v>
      </c>
      <c r="B29" t="s">
        <v>8</v>
      </c>
      <c r="C29">
        <v>6.1493330001831001</v>
      </c>
      <c r="D29">
        <v>4</v>
      </c>
      <c r="E29">
        <v>46.002741813659597</v>
      </c>
      <c r="F29">
        <v>5</v>
      </c>
      <c r="G29">
        <f t="shared" si="9"/>
        <v>10</v>
      </c>
      <c r="J29" s="5">
        <v>5</v>
      </c>
      <c r="K29" s="8">
        <f t="shared" si="17"/>
        <v>0.125</v>
      </c>
      <c r="L29" s="8">
        <f t="shared" si="17"/>
        <v>0</v>
      </c>
      <c r="M29" s="8">
        <f t="shared" si="17"/>
        <v>0</v>
      </c>
      <c r="N29" s="8">
        <f t="shared" si="17"/>
        <v>0</v>
      </c>
      <c r="O29" s="8">
        <f t="shared" si="17"/>
        <v>0</v>
      </c>
      <c r="P29" s="8">
        <f t="shared" si="17"/>
        <v>0.875</v>
      </c>
      <c r="V29" s="5" t="s">
        <v>20</v>
      </c>
      <c r="W29" s="10">
        <v>0</v>
      </c>
      <c r="X29" s="10">
        <v>0.4921026229858389</v>
      </c>
      <c r="Y29" s="7">
        <v>4.875</v>
      </c>
      <c r="Z29" s="16">
        <f t="shared" si="11"/>
        <v>8</v>
      </c>
      <c r="AA29" s="5" t="s">
        <v>20</v>
      </c>
      <c r="AB29" s="7">
        <v>4.875</v>
      </c>
      <c r="AC29" s="16">
        <f t="shared" si="12"/>
        <v>2</v>
      </c>
      <c r="AD29" s="5" t="b">
        <f t="shared" si="15"/>
        <v>0</v>
      </c>
      <c r="AF29" s="10">
        <v>0</v>
      </c>
      <c r="AG29" s="10">
        <v>0.4921026229858389</v>
      </c>
      <c r="AH29" s="7">
        <v>4.875</v>
      </c>
      <c r="AI29" s="16">
        <f t="shared" si="13"/>
        <v>8</v>
      </c>
      <c r="AJ29" s="5" t="s">
        <v>20</v>
      </c>
      <c r="AK29" s="7">
        <v>4.875</v>
      </c>
      <c r="AL29" s="16">
        <f t="shared" si="14"/>
        <v>8</v>
      </c>
      <c r="AM29" s="5" t="b">
        <f t="shared" si="16"/>
        <v>1</v>
      </c>
    </row>
    <row r="30" spans="1:39" x14ac:dyDescent="0.3">
      <c r="A30" s="1">
        <v>28</v>
      </c>
      <c r="B30" t="s">
        <v>8</v>
      </c>
      <c r="C30">
        <v>6.1493330001831001</v>
      </c>
      <c r="D30">
        <v>5</v>
      </c>
      <c r="E30">
        <v>42.520731687545698</v>
      </c>
      <c r="F30">
        <v>5</v>
      </c>
      <c r="G30">
        <f t="shared" si="9"/>
        <v>10</v>
      </c>
      <c r="J30" s="5">
        <v>6</v>
      </c>
      <c r="K30" s="8">
        <f t="shared" si="17"/>
        <v>0</v>
      </c>
      <c r="L30" s="8">
        <f t="shared" si="17"/>
        <v>0</v>
      </c>
      <c r="M30" s="8">
        <f t="shared" si="17"/>
        <v>0</v>
      </c>
      <c r="N30" s="8">
        <f t="shared" si="17"/>
        <v>0</v>
      </c>
      <c r="O30" s="8">
        <f t="shared" si="17"/>
        <v>0.125</v>
      </c>
      <c r="P30" s="8">
        <f t="shared" si="17"/>
        <v>0.875</v>
      </c>
    </row>
    <row r="31" spans="1:39" x14ac:dyDescent="0.3">
      <c r="A31" s="1">
        <v>29</v>
      </c>
      <c r="B31" t="s">
        <v>8</v>
      </c>
      <c r="C31">
        <v>6.1493330001831001</v>
      </c>
      <c r="D31">
        <v>6</v>
      </c>
      <c r="E31">
        <v>49.383001565933199</v>
      </c>
      <c r="F31">
        <v>5</v>
      </c>
      <c r="G31">
        <f t="shared" si="9"/>
        <v>10</v>
      </c>
      <c r="J31" s="5">
        <v>7</v>
      </c>
      <c r="K31" s="8">
        <f t="shared" si="17"/>
        <v>0</v>
      </c>
      <c r="L31" s="8">
        <f t="shared" si="17"/>
        <v>0.25</v>
      </c>
      <c r="M31" s="8">
        <f t="shared" si="17"/>
        <v>0</v>
      </c>
      <c r="N31" s="8">
        <f t="shared" si="17"/>
        <v>0.125</v>
      </c>
      <c r="O31" s="8">
        <f t="shared" si="17"/>
        <v>0.25</v>
      </c>
      <c r="P31" s="8">
        <f t="shared" si="17"/>
        <v>0.375</v>
      </c>
    </row>
    <row r="32" spans="1:39" x14ac:dyDescent="0.3">
      <c r="A32" s="1">
        <v>30</v>
      </c>
      <c r="B32" t="s">
        <v>8</v>
      </c>
      <c r="C32">
        <v>6.1493330001831001</v>
      </c>
      <c r="D32">
        <v>7</v>
      </c>
      <c r="E32">
        <v>51.771876573562601</v>
      </c>
      <c r="F32">
        <v>1</v>
      </c>
      <c r="G32">
        <f t="shared" si="9"/>
        <v>0</v>
      </c>
      <c r="J32" s="5">
        <v>8</v>
      </c>
      <c r="K32" s="8">
        <f t="shared" si="17"/>
        <v>0.125</v>
      </c>
      <c r="L32" s="8">
        <f t="shared" si="17"/>
        <v>0.75</v>
      </c>
      <c r="M32" s="8">
        <f t="shared" si="17"/>
        <v>0</v>
      </c>
      <c r="N32" s="8">
        <f t="shared" si="17"/>
        <v>0.125</v>
      </c>
      <c r="O32" s="8">
        <f t="shared" si="17"/>
        <v>0</v>
      </c>
      <c r="P32" s="8">
        <f t="shared" si="17"/>
        <v>0</v>
      </c>
    </row>
    <row r="33" spans="1:7" x14ac:dyDescent="0.3">
      <c r="A33" s="1">
        <v>31</v>
      </c>
      <c r="B33" t="s">
        <v>8</v>
      </c>
      <c r="C33">
        <v>6.1493330001831001</v>
      </c>
      <c r="D33">
        <v>8</v>
      </c>
      <c r="E33">
        <v>46.551281690597499</v>
      </c>
      <c r="F33">
        <v>1</v>
      </c>
      <c r="G33">
        <f t="shared" si="9"/>
        <v>0</v>
      </c>
    </row>
    <row r="34" spans="1:7" x14ac:dyDescent="0.3">
      <c r="A34" s="1">
        <v>32</v>
      </c>
      <c r="B34" t="s">
        <v>9</v>
      </c>
      <c r="C34">
        <v>29.326041460037199</v>
      </c>
      <c r="D34">
        <v>1</v>
      </c>
      <c r="E34">
        <v>33.343206167220998</v>
      </c>
      <c r="F34">
        <v>3</v>
      </c>
      <c r="G34">
        <f t="shared" si="9"/>
        <v>4</v>
      </c>
    </row>
    <row r="35" spans="1:7" x14ac:dyDescent="0.3">
      <c r="A35" s="1">
        <v>33</v>
      </c>
      <c r="B35" t="s">
        <v>9</v>
      </c>
      <c r="C35">
        <v>29.326041460037199</v>
      </c>
      <c r="D35">
        <v>2</v>
      </c>
      <c r="E35">
        <v>49.817709922790499</v>
      </c>
      <c r="F35">
        <v>3</v>
      </c>
      <c r="G35">
        <f t="shared" si="9"/>
        <v>4</v>
      </c>
    </row>
    <row r="36" spans="1:7" x14ac:dyDescent="0.3">
      <c r="A36" s="1">
        <v>34</v>
      </c>
      <c r="B36" t="s">
        <v>9</v>
      </c>
      <c r="C36">
        <v>29.326041460037199</v>
      </c>
      <c r="D36">
        <v>3</v>
      </c>
      <c r="E36">
        <v>11.8494668006896</v>
      </c>
      <c r="F36">
        <v>3</v>
      </c>
      <c r="G36">
        <f t="shared" si="9"/>
        <v>4</v>
      </c>
    </row>
    <row r="37" spans="1:7" x14ac:dyDescent="0.3">
      <c r="A37" s="1">
        <v>35</v>
      </c>
      <c r="B37" t="s">
        <v>9</v>
      </c>
      <c r="C37">
        <v>29.326041460037199</v>
      </c>
      <c r="D37">
        <v>4</v>
      </c>
      <c r="E37">
        <v>11.0385563373565</v>
      </c>
      <c r="F37">
        <v>2</v>
      </c>
      <c r="G37">
        <f t="shared" si="9"/>
        <v>0</v>
      </c>
    </row>
    <row r="38" spans="1:7" x14ac:dyDescent="0.3">
      <c r="A38" s="1">
        <v>36</v>
      </c>
      <c r="B38" t="s">
        <v>9</v>
      </c>
      <c r="C38">
        <v>29.326041460037199</v>
      </c>
      <c r="D38">
        <v>5</v>
      </c>
      <c r="E38">
        <v>5.6263835430145201</v>
      </c>
      <c r="F38">
        <v>5</v>
      </c>
      <c r="G38">
        <f t="shared" si="9"/>
        <v>10</v>
      </c>
    </row>
    <row r="39" spans="1:7" x14ac:dyDescent="0.3">
      <c r="A39" s="1">
        <v>37</v>
      </c>
      <c r="B39" t="s">
        <v>9</v>
      </c>
      <c r="C39">
        <v>29.326041460037199</v>
      </c>
      <c r="D39">
        <v>6</v>
      </c>
      <c r="E39">
        <v>8.0033855438232404</v>
      </c>
      <c r="F39">
        <v>5</v>
      </c>
      <c r="G39">
        <f t="shared" si="9"/>
        <v>10</v>
      </c>
    </row>
    <row r="40" spans="1:7" x14ac:dyDescent="0.3">
      <c r="A40" s="1">
        <v>38</v>
      </c>
      <c r="B40" t="s">
        <v>9</v>
      </c>
      <c r="C40">
        <v>29.326041460037199</v>
      </c>
      <c r="D40">
        <v>7</v>
      </c>
      <c r="E40">
        <v>7.7791230678558296</v>
      </c>
      <c r="F40">
        <v>1</v>
      </c>
      <c r="G40">
        <f t="shared" si="9"/>
        <v>0</v>
      </c>
    </row>
    <row r="41" spans="1:7" x14ac:dyDescent="0.3">
      <c r="A41" s="1">
        <v>39</v>
      </c>
      <c r="B41" t="s">
        <v>9</v>
      </c>
      <c r="C41">
        <v>29.326041460037199</v>
      </c>
      <c r="D41">
        <v>8</v>
      </c>
      <c r="E41">
        <v>7.1672716140746999</v>
      </c>
      <c r="F41">
        <v>1</v>
      </c>
      <c r="G41">
        <f t="shared" si="9"/>
        <v>0</v>
      </c>
    </row>
    <row r="42" spans="1:7" x14ac:dyDescent="0.3">
      <c r="A42" s="1">
        <v>40</v>
      </c>
      <c r="B42" t="s">
        <v>10</v>
      </c>
      <c r="C42">
        <v>24.744769573211599</v>
      </c>
      <c r="D42">
        <v>1</v>
      </c>
      <c r="E42">
        <v>170.99432849883999</v>
      </c>
      <c r="F42">
        <v>2</v>
      </c>
      <c r="G42">
        <f t="shared" si="9"/>
        <v>0</v>
      </c>
    </row>
    <row r="43" spans="1:7" x14ac:dyDescent="0.3">
      <c r="A43" s="1">
        <v>41</v>
      </c>
      <c r="B43" t="s">
        <v>10</v>
      </c>
      <c r="C43">
        <v>24.744769573211599</v>
      </c>
      <c r="D43">
        <v>2</v>
      </c>
      <c r="E43">
        <v>222.79118943214399</v>
      </c>
      <c r="F43">
        <v>3</v>
      </c>
      <c r="G43">
        <f t="shared" si="9"/>
        <v>4</v>
      </c>
    </row>
    <row r="44" spans="1:7" x14ac:dyDescent="0.3">
      <c r="A44" s="1">
        <v>42</v>
      </c>
      <c r="B44" t="s">
        <v>10</v>
      </c>
      <c r="C44">
        <v>24.744769573211599</v>
      </c>
      <c r="D44">
        <v>3</v>
      </c>
      <c r="E44">
        <v>208.73102378845201</v>
      </c>
      <c r="F44">
        <v>3</v>
      </c>
      <c r="G44">
        <f t="shared" si="9"/>
        <v>4</v>
      </c>
    </row>
    <row r="45" spans="1:7" x14ac:dyDescent="0.3">
      <c r="A45" s="1">
        <v>43</v>
      </c>
      <c r="B45" t="s">
        <v>10</v>
      </c>
      <c r="C45">
        <v>24.744769573211599</v>
      </c>
      <c r="D45">
        <v>4</v>
      </c>
      <c r="E45">
        <v>254.35646986961299</v>
      </c>
      <c r="F45">
        <v>1</v>
      </c>
      <c r="G45">
        <f t="shared" si="9"/>
        <v>0</v>
      </c>
    </row>
    <row r="46" spans="1:7" x14ac:dyDescent="0.3">
      <c r="A46" s="1">
        <v>44</v>
      </c>
      <c r="B46" t="s">
        <v>10</v>
      </c>
      <c r="C46">
        <v>24.744769573211599</v>
      </c>
      <c r="D46">
        <v>5</v>
      </c>
      <c r="E46">
        <v>148.66101789474399</v>
      </c>
      <c r="F46">
        <v>5</v>
      </c>
      <c r="G46">
        <f t="shared" si="9"/>
        <v>10</v>
      </c>
    </row>
    <row r="47" spans="1:7" x14ac:dyDescent="0.3">
      <c r="A47" s="1">
        <v>45</v>
      </c>
      <c r="B47" t="s">
        <v>10</v>
      </c>
      <c r="C47">
        <v>24.744769573211599</v>
      </c>
      <c r="D47">
        <v>6</v>
      </c>
      <c r="E47">
        <v>128.395906209945</v>
      </c>
      <c r="F47">
        <v>5</v>
      </c>
      <c r="G47">
        <f t="shared" si="9"/>
        <v>10</v>
      </c>
    </row>
    <row r="48" spans="1:7" x14ac:dyDescent="0.3">
      <c r="A48" s="1">
        <v>46</v>
      </c>
      <c r="B48" t="s">
        <v>10</v>
      </c>
      <c r="C48">
        <v>24.744769573211599</v>
      </c>
      <c r="D48">
        <v>7</v>
      </c>
      <c r="E48">
        <v>135.946074008941</v>
      </c>
      <c r="F48">
        <v>4</v>
      </c>
      <c r="G48">
        <f t="shared" si="9"/>
        <v>7</v>
      </c>
    </row>
    <row r="49" spans="1:7" x14ac:dyDescent="0.3">
      <c r="A49" s="1">
        <v>47</v>
      </c>
      <c r="B49" t="s">
        <v>10</v>
      </c>
      <c r="C49">
        <v>24.744769573211599</v>
      </c>
      <c r="D49">
        <v>8</v>
      </c>
      <c r="E49">
        <v>110.301704883575</v>
      </c>
      <c r="F49">
        <v>1</v>
      </c>
      <c r="G49">
        <f t="shared" si="9"/>
        <v>0</v>
      </c>
    </row>
    <row r="50" spans="1:7" x14ac:dyDescent="0.3">
      <c r="A50" s="1">
        <v>48</v>
      </c>
      <c r="B50" t="s">
        <v>11</v>
      </c>
      <c r="C50">
        <v>21.0900430679321</v>
      </c>
      <c r="D50">
        <v>1</v>
      </c>
      <c r="E50">
        <v>147.12869071960401</v>
      </c>
      <c r="F50">
        <v>2</v>
      </c>
      <c r="G50">
        <f t="shared" si="9"/>
        <v>0</v>
      </c>
    </row>
    <row r="51" spans="1:7" x14ac:dyDescent="0.3">
      <c r="A51" s="1">
        <v>49</v>
      </c>
      <c r="B51" t="s">
        <v>11</v>
      </c>
      <c r="C51">
        <v>21.0900430679321</v>
      </c>
      <c r="D51">
        <v>2</v>
      </c>
      <c r="E51">
        <v>332.27250838279701</v>
      </c>
      <c r="F51">
        <v>3</v>
      </c>
      <c r="G51">
        <f t="shared" si="9"/>
        <v>4</v>
      </c>
    </row>
    <row r="52" spans="1:7" x14ac:dyDescent="0.3">
      <c r="A52" s="1">
        <v>50</v>
      </c>
      <c r="B52" t="s">
        <v>11</v>
      </c>
      <c r="C52">
        <v>21.0900430679321</v>
      </c>
      <c r="D52">
        <v>3</v>
      </c>
      <c r="E52">
        <v>209.75028800964299</v>
      </c>
      <c r="F52">
        <v>0</v>
      </c>
      <c r="G52">
        <f t="shared" si="9"/>
        <v>0</v>
      </c>
    </row>
    <row r="53" spans="1:7" x14ac:dyDescent="0.3">
      <c r="A53" s="1">
        <v>51</v>
      </c>
      <c r="B53" t="s">
        <v>11</v>
      </c>
      <c r="C53">
        <v>21.0900430679321</v>
      </c>
      <c r="D53">
        <v>4</v>
      </c>
      <c r="E53">
        <v>229.05797410011201</v>
      </c>
      <c r="F53">
        <v>3</v>
      </c>
      <c r="G53">
        <f t="shared" si="9"/>
        <v>4</v>
      </c>
    </row>
    <row r="54" spans="1:7" x14ac:dyDescent="0.3">
      <c r="A54" s="1">
        <v>52</v>
      </c>
      <c r="B54" t="s">
        <v>11</v>
      </c>
      <c r="C54">
        <v>21.0900430679321</v>
      </c>
      <c r="D54">
        <v>5</v>
      </c>
      <c r="E54">
        <v>131.553849220275</v>
      </c>
      <c r="F54">
        <v>5</v>
      </c>
      <c r="G54">
        <f t="shared" si="9"/>
        <v>10</v>
      </c>
    </row>
    <row r="55" spans="1:7" x14ac:dyDescent="0.3">
      <c r="A55" s="1">
        <v>53</v>
      </c>
      <c r="B55" t="s">
        <v>11</v>
      </c>
      <c r="C55">
        <v>21.0900430679321</v>
      </c>
      <c r="D55">
        <v>6</v>
      </c>
      <c r="E55">
        <v>157.43982648849399</v>
      </c>
      <c r="F55">
        <v>5</v>
      </c>
      <c r="G55">
        <f t="shared" si="9"/>
        <v>10</v>
      </c>
    </row>
    <row r="56" spans="1:7" x14ac:dyDescent="0.3">
      <c r="A56" s="1">
        <v>54</v>
      </c>
      <c r="B56" t="s">
        <v>11</v>
      </c>
      <c r="C56">
        <v>21.0900430679321</v>
      </c>
      <c r="D56">
        <v>7</v>
      </c>
      <c r="E56">
        <v>152.90298271179199</v>
      </c>
      <c r="F56">
        <v>5</v>
      </c>
      <c r="G56">
        <f t="shared" si="9"/>
        <v>10</v>
      </c>
    </row>
    <row r="57" spans="1:7" x14ac:dyDescent="0.3">
      <c r="A57" s="1">
        <v>55</v>
      </c>
      <c r="B57" t="s">
        <v>11</v>
      </c>
      <c r="C57">
        <v>21.0900430679321</v>
      </c>
      <c r="D57">
        <v>8</v>
      </c>
      <c r="E57">
        <v>152.20926284789999</v>
      </c>
      <c r="F57">
        <v>1</v>
      </c>
      <c r="G57">
        <f t="shared" si="9"/>
        <v>0</v>
      </c>
    </row>
    <row r="58" spans="1:7" x14ac:dyDescent="0.3">
      <c r="A58" s="1">
        <v>56</v>
      </c>
      <c r="B58" t="s">
        <v>12</v>
      </c>
      <c r="C58">
        <v>11.562474727630599</v>
      </c>
      <c r="D58">
        <v>1</v>
      </c>
      <c r="E58">
        <v>405.07207918167097</v>
      </c>
      <c r="F58">
        <v>1</v>
      </c>
      <c r="G58">
        <f t="shared" si="9"/>
        <v>0</v>
      </c>
    </row>
    <row r="59" spans="1:7" x14ac:dyDescent="0.3">
      <c r="A59" s="1">
        <v>57</v>
      </c>
      <c r="B59" t="s">
        <v>12</v>
      </c>
      <c r="C59">
        <v>11.562474727630599</v>
      </c>
      <c r="D59">
        <v>2</v>
      </c>
      <c r="E59">
        <v>461.84973669052101</v>
      </c>
      <c r="F59">
        <v>2</v>
      </c>
      <c r="G59">
        <f t="shared" si="9"/>
        <v>0</v>
      </c>
    </row>
    <row r="60" spans="1:7" x14ac:dyDescent="0.3">
      <c r="A60" s="1">
        <v>58</v>
      </c>
      <c r="B60" t="s">
        <v>12</v>
      </c>
      <c r="C60">
        <v>11.562474727630599</v>
      </c>
      <c r="D60">
        <v>3</v>
      </c>
      <c r="E60">
        <v>415.86915183067299</v>
      </c>
      <c r="F60">
        <v>3</v>
      </c>
      <c r="G60">
        <f t="shared" si="9"/>
        <v>4</v>
      </c>
    </row>
    <row r="61" spans="1:7" x14ac:dyDescent="0.3">
      <c r="A61" s="1">
        <v>59</v>
      </c>
      <c r="B61" t="s">
        <v>12</v>
      </c>
      <c r="C61">
        <v>11.562474727630599</v>
      </c>
      <c r="D61">
        <v>4</v>
      </c>
      <c r="E61">
        <v>358.26894545555098</v>
      </c>
      <c r="F61">
        <v>5</v>
      </c>
      <c r="G61">
        <f t="shared" si="9"/>
        <v>10</v>
      </c>
    </row>
    <row r="62" spans="1:7" x14ac:dyDescent="0.3">
      <c r="A62" s="1">
        <v>60</v>
      </c>
      <c r="B62" t="s">
        <v>12</v>
      </c>
      <c r="C62">
        <v>11.562474727630599</v>
      </c>
      <c r="D62">
        <v>5</v>
      </c>
      <c r="E62">
        <v>365.82509660720802</v>
      </c>
      <c r="F62">
        <v>5</v>
      </c>
      <c r="G62">
        <f t="shared" si="9"/>
        <v>10</v>
      </c>
    </row>
    <row r="63" spans="1:7" x14ac:dyDescent="0.3">
      <c r="A63" s="1">
        <v>61</v>
      </c>
      <c r="B63" t="s">
        <v>12</v>
      </c>
      <c r="C63">
        <v>11.562474727630599</v>
      </c>
      <c r="D63">
        <v>6</v>
      </c>
      <c r="E63">
        <v>367.23003387451098</v>
      </c>
      <c r="F63">
        <v>5</v>
      </c>
      <c r="G63">
        <f t="shared" si="9"/>
        <v>10</v>
      </c>
    </row>
    <row r="64" spans="1:7" x14ac:dyDescent="0.3">
      <c r="A64" s="1">
        <v>62</v>
      </c>
      <c r="B64" t="s">
        <v>12</v>
      </c>
      <c r="C64">
        <v>11.562474727630599</v>
      </c>
      <c r="D64">
        <v>7</v>
      </c>
      <c r="E64">
        <v>377.05154585838301</v>
      </c>
      <c r="F64">
        <v>4</v>
      </c>
      <c r="G64">
        <f t="shared" si="9"/>
        <v>7</v>
      </c>
    </row>
    <row r="65" spans="1:10" x14ac:dyDescent="0.3">
      <c r="A65" s="1">
        <v>63</v>
      </c>
      <c r="B65" t="s">
        <v>12</v>
      </c>
      <c r="C65">
        <v>11.562474727630599</v>
      </c>
      <c r="D65">
        <v>8</v>
      </c>
      <c r="E65">
        <v>371.115574359893</v>
      </c>
      <c r="F65">
        <v>1</v>
      </c>
      <c r="G65">
        <f t="shared" si="9"/>
        <v>0</v>
      </c>
    </row>
    <row r="66" spans="1:10" x14ac:dyDescent="0.3">
      <c r="A66" s="1">
        <v>64</v>
      </c>
      <c r="B66" t="s">
        <v>22</v>
      </c>
      <c r="C66">
        <v>0</v>
      </c>
      <c r="D66">
        <v>1</v>
      </c>
      <c r="E66">
        <v>1.2184805870056099</v>
      </c>
      <c r="F66">
        <v>1</v>
      </c>
      <c r="G66">
        <f t="shared" si="9"/>
        <v>0</v>
      </c>
    </row>
    <row r="67" spans="1:10" x14ac:dyDescent="0.3">
      <c r="A67" s="1">
        <v>65</v>
      </c>
      <c r="B67" t="s">
        <v>22</v>
      </c>
      <c r="C67">
        <v>0</v>
      </c>
      <c r="D67">
        <v>2</v>
      </c>
      <c r="E67">
        <v>0.34383988380432101</v>
      </c>
      <c r="F67">
        <v>5</v>
      </c>
      <c r="G67">
        <f t="shared" ref="G67:G73" si="18">IF(F67&lt;3,0,IF(F67=3,4,IF(F67=4,7,10)))</f>
        <v>10</v>
      </c>
    </row>
    <row r="68" spans="1:10" x14ac:dyDescent="0.3">
      <c r="A68" s="1">
        <v>66</v>
      </c>
      <c r="B68" t="s">
        <v>22</v>
      </c>
      <c r="C68">
        <v>0</v>
      </c>
      <c r="D68">
        <v>3</v>
      </c>
      <c r="E68">
        <v>0.40618991851806602</v>
      </c>
      <c r="F68">
        <v>3</v>
      </c>
      <c r="G68">
        <f t="shared" si="18"/>
        <v>4</v>
      </c>
    </row>
    <row r="69" spans="1:10" x14ac:dyDescent="0.3">
      <c r="A69" s="1">
        <v>67</v>
      </c>
      <c r="B69" t="s">
        <v>22</v>
      </c>
      <c r="C69">
        <v>0</v>
      </c>
      <c r="D69">
        <v>4</v>
      </c>
      <c r="E69">
        <v>0.37500047683715798</v>
      </c>
      <c r="F69">
        <v>4</v>
      </c>
      <c r="G69">
        <f t="shared" si="18"/>
        <v>7</v>
      </c>
      <c r="J69" s="9"/>
    </row>
    <row r="70" spans="1:10" x14ac:dyDescent="0.3">
      <c r="A70" s="1">
        <v>68</v>
      </c>
      <c r="B70" t="s">
        <v>22</v>
      </c>
      <c r="C70">
        <v>0</v>
      </c>
      <c r="D70">
        <v>5</v>
      </c>
      <c r="E70">
        <v>0.42172551155090299</v>
      </c>
      <c r="F70">
        <v>3</v>
      </c>
      <c r="G70">
        <f t="shared" si="18"/>
        <v>4</v>
      </c>
    </row>
    <row r="71" spans="1:10" x14ac:dyDescent="0.3">
      <c r="A71" s="1">
        <v>69</v>
      </c>
      <c r="B71" t="s">
        <v>22</v>
      </c>
      <c r="C71">
        <v>0</v>
      </c>
      <c r="D71">
        <v>6</v>
      </c>
      <c r="E71">
        <v>0.40610909461975098</v>
      </c>
      <c r="F71">
        <v>2</v>
      </c>
      <c r="G71">
        <f t="shared" si="18"/>
        <v>0</v>
      </c>
    </row>
    <row r="72" spans="1:10" x14ac:dyDescent="0.3">
      <c r="A72" s="1">
        <v>70</v>
      </c>
      <c r="B72" t="s">
        <v>22</v>
      </c>
      <c r="C72">
        <v>0</v>
      </c>
      <c r="D72">
        <v>7</v>
      </c>
      <c r="E72">
        <v>0.35908317565917902</v>
      </c>
      <c r="F72">
        <v>4</v>
      </c>
      <c r="G72">
        <f t="shared" si="18"/>
        <v>7</v>
      </c>
    </row>
    <row r="73" spans="1:10" x14ac:dyDescent="0.3">
      <c r="A73" s="1">
        <v>71</v>
      </c>
      <c r="B73" t="s">
        <v>22</v>
      </c>
      <c r="C73">
        <v>0</v>
      </c>
      <c r="D73">
        <v>8</v>
      </c>
      <c r="E73">
        <v>0.40639233589172302</v>
      </c>
      <c r="F73">
        <v>4</v>
      </c>
      <c r="G73">
        <f t="shared" si="18"/>
        <v>7</v>
      </c>
    </row>
  </sheetData>
  <mergeCells count="4">
    <mergeCell ref="K12:P12"/>
    <mergeCell ref="K23:P23"/>
    <mergeCell ref="W19:Y19"/>
    <mergeCell ref="AF19:AH19"/>
  </mergeCells>
  <conditionalFormatting sqref="K14:P21">
    <cfRule type="colorScale" priority="13">
      <colorScale>
        <cfvo type="min"/>
        <cfvo type="max"/>
        <color rgb="FFFCFCFF"/>
        <color rgb="FF63BE7B"/>
      </colorScale>
    </cfRule>
  </conditionalFormatting>
  <conditionalFormatting sqref="K25:P32">
    <cfRule type="colorScale" priority="10">
      <colorScale>
        <cfvo type="min"/>
        <cfvo type="max"/>
        <color rgb="FFFCFCFF"/>
        <color rgb="FF63BE7B"/>
      </colorScale>
    </cfRule>
  </conditionalFormatting>
  <conditionalFormatting sqref="M2:R10">
    <cfRule type="colorScale" priority="14">
      <colorScale>
        <cfvo type="min"/>
        <cfvo type="max"/>
        <color rgb="FFFCFCFF"/>
        <color rgb="FF63BE7B"/>
      </colorScale>
    </cfRule>
  </conditionalFormatting>
  <conditionalFormatting sqref="S2:S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:Y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:AB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:AH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:AK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C2E7-4ED1-417E-AFAC-B49CEDB599C3}">
  <dimension ref="A1:T73"/>
  <sheetViews>
    <sheetView tabSelected="1" workbookViewId="0">
      <selection activeCell="M12" sqref="M12"/>
    </sheetView>
  </sheetViews>
  <sheetFormatPr defaultRowHeight="14.4" x14ac:dyDescent="0.3"/>
  <cols>
    <col min="14" max="14" width="15.66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G1" s="13"/>
      <c r="H1" s="13" t="s">
        <v>35</v>
      </c>
      <c r="I1" s="13" t="s">
        <v>34</v>
      </c>
    </row>
    <row r="2" spans="1:20" x14ac:dyDescent="0.3">
      <c r="A2" s="1">
        <v>0</v>
      </c>
      <c r="B2" t="s">
        <v>5</v>
      </c>
      <c r="C2">
        <v>10.323313951492301</v>
      </c>
      <c r="D2">
        <v>1</v>
      </c>
      <c r="E2">
        <v>42.899279594421301</v>
      </c>
      <c r="F2">
        <v>1</v>
      </c>
      <c r="G2">
        <v>2</v>
      </c>
      <c r="H2">
        <f>IF(F2&lt;3,0,IF(F2=3,4,IF(F2=4,7,10)))</f>
        <v>0</v>
      </c>
      <c r="I2">
        <f>IF(G2&lt;3,0,IF(G2=3,4,IF(G2=4,7,10)))</f>
        <v>0</v>
      </c>
      <c r="J2">
        <f>AVERAGE(H2:I2)</f>
        <v>0</v>
      </c>
      <c r="N2" s="5" t="s">
        <v>5</v>
      </c>
      <c r="O2" s="14">
        <f>AVERAGEIFS(H:H,B:B,N2)</f>
        <v>3</v>
      </c>
      <c r="P2" s="15">
        <f>RANK(O2,O$2:O$10)</f>
        <v>9</v>
      </c>
      <c r="Q2">
        <f>AVERAGEIFS(I:I,B:B,N2)</f>
        <v>2.625</v>
      </c>
      <c r="R2" s="15">
        <f>RANK(Q2,Q$2:Q$10)</f>
        <v>9</v>
      </c>
      <c r="S2">
        <f>AVERAGEIFS(J:J,B:B,N2)</f>
        <v>2.8125</v>
      </c>
      <c r="T2" s="15">
        <f>RANK(S2,S$2:S$10)</f>
        <v>9</v>
      </c>
    </row>
    <row r="3" spans="1:20" x14ac:dyDescent="0.3">
      <c r="A3" s="1">
        <v>1</v>
      </c>
      <c r="B3" t="s">
        <v>5</v>
      </c>
      <c r="C3">
        <v>15.801481008529599</v>
      </c>
      <c r="D3">
        <v>2</v>
      </c>
      <c r="E3">
        <v>109.505144357681</v>
      </c>
      <c r="F3">
        <v>0</v>
      </c>
      <c r="G3">
        <v>0</v>
      </c>
      <c r="H3">
        <f t="shared" ref="H3:I66" si="0">IF(F3&lt;3,0,IF(F3=3,4,IF(F3=4,7,10)))</f>
        <v>0</v>
      </c>
      <c r="I3">
        <f t="shared" si="0"/>
        <v>0</v>
      </c>
      <c r="J3">
        <f t="shared" ref="J3:J66" si="1">AVERAGE(H3:I3)</f>
        <v>0</v>
      </c>
      <c r="N3" s="5" t="s">
        <v>6</v>
      </c>
      <c r="O3" s="14">
        <f t="shared" ref="O3:O10" si="2">AVERAGEIFS(H:H,B:B,N3)</f>
        <v>3.75</v>
      </c>
      <c r="P3" s="15">
        <f t="shared" ref="P3:P10" si="3">RANK(O3,O$2:O$10)</f>
        <v>8</v>
      </c>
      <c r="Q3">
        <f t="shared" ref="Q3:Q10" si="4">AVERAGEIFS(I:I,B:B,N3)</f>
        <v>5.5</v>
      </c>
      <c r="R3" s="15">
        <f t="shared" ref="R3:R10" si="5">RANK(Q3,Q$2:Q$10)</f>
        <v>7</v>
      </c>
      <c r="S3">
        <f t="shared" ref="S3:S10" si="6">AVERAGEIFS(J:J,B:B,N3)</f>
        <v>4.625</v>
      </c>
      <c r="T3" s="15">
        <f t="shared" ref="T3:T10" si="7">RANK(S3,S$2:S$10)</f>
        <v>8</v>
      </c>
    </row>
    <row r="4" spans="1:20" x14ac:dyDescent="0.3">
      <c r="A4" s="1">
        <v>2</v>
      </c>
      <c r="B4" t="s">
        <v>5</v>
      </c>
      <c r="C4">
        <v>15.801481008529599</v>
      </c>
      <c r="D4">
        <v>3</v>
      </c>
      <c r="E4">
        <v>230.04767465591399</v>
      </c>
      <c r="F4">
        <v>4</v>
      </c>
      <c r="G4">
        <v>3</v>
      </c>
      <c r="H4" s="21">
        <f t="shared" si="0"/>
        <v>7</v>
      </c>
      <c r="I4" s="21">
        <f t="shared" si="0"/>
        <v>4</v>
      </c>
      <c r="J4">
        <f t="shared" si="1"/>
        <v>5.5</v>
      </c>
      <c r="N4" s="5" t="s">
        <v>7</v>
      </c>
      <c r="O4" s="14">
        <f t="shared" si="2"/>
        <v>4.5</v>
      </c>
      <c r="P4" s="15">
        <f t="shared" si="3"/>
        <v>4</v>
      </c>
      <c r="Q4">
        <f t="shared" si="4"/>
        <v>6.75</v>
      </c>
      <c r="R4" s="15">
        <f t="shared" si="5"/>
        <v>3</v>
      </c>
      <c r="S4">
        <f t="shared" si="6"/>
        <v>5.625</v>
      </c>
      <c r="T4" s="15">
        <f t="shared" si="7"/>
        <v>3</v>
      </c>
    </row>
    <row r="5" spans="1:20" x14ac:dyDescent="0.3">
      <c r="A5" s="1">
        <v>3</v>
      </c>
      <c r="B5" t="s">
        <v>5</v>
      </c>
      <c r="C5">
        <v>15.801481008529599</v>
      </c>
      <c r="D5">
        <v>4</v>
      </c>
      <c r="E5">
        <v>223.92705821990899</v>
      </c>
      <c r="F5">
        <v>1</v>
      </c>
      <c r="G5">
        <v>2</v>
      </c>
      <c r="H5">
        <f t="shared" si="0"/>
        <v>0</v>
      </c>
      <c r="I5">
        <f t="shared" si="0"/>
        <v>0</v>
      </c>
      <c r="J5">
        <f t="shared" si="1"/>
        <v>0</v>
      </c>
      <c r="N5" s="5" t="s">
        <v>8</v>
      </c>
      <c r="O5" s="14">
        <f t="shared" si="2"/>
        <v>4.25</v>
      </c>
      <c r="P5" s="15">
        <f t="shared" si="3"/>
        <v>6</v>
      </c>
      <c r="Q5">
        <f t="shared" si="4"/>
        <v>6</v>
      </c>
      <c r="R5" s="15">
        <f t="shared" si="5"/>
        <v>5</v>
      </c>
      <c r="S5">
        <f t="shared" si="6"/>
        <v>5.125</v>
      </c>
      <c r="T5" s="15">
        <f t="shared" si="7"/>
        <v>6</v>
      </c>
    </row>
    <row r="6" spans="1:20" x14ac:dyDescent="0.3">
      <c r="A6" s="1">
        <v>4</v>
      </c>
      <c r="B6" t="s">
        <v>5</v>
      </c>
      <c r="C6">
        <v>15.801481008529599</v>
      </c>
      <c r="D6">
        <v>5</v>
      </c>
      <c r="E6">
        <v>62.060686111450103</v>
      </c>
      <c r="F6">
        <v>0</v>
      </c>
      <c r="G6">
        <v>0</v>
      </c>
      <c r="H6">
        <f t="shared" si="0"/>
        <v>0</v>
      </c>
      <c r="I6">
        <f t="shared" si="0"/>
        <v>0</v>
      </c>
      <c r="J6">
        <f t="shared" si="1"/>
        <v>0</v>
      </c>
      <c r="N6" s="5" t="s">
        <v>9</v>
      </c>
      <c r="O6" s="14">
        <f t="shared" si="2"/>
        <v>4</v>
      </c>
      <c r="P6" s="15">
        <f t="shared" si="3"/>
        <v>7</v>
      </c>
      <c r="Q6">
        <f t="shared" si="4"/>
        <v>6.75</v>
      </c>
      <c r="R6" s="15">
        <f t="shared" si="5"/>
        <v>3</v>
      </c>
      <c r="S6">
        <f t="shared" si="6"/>
        <v>5.375</v>
      </c>
      <c r="T6" s="15">
        <f t="shared" si="7"/>
        <v>4</v>
      </c>
    </row>
    <row r="7" spans="1:20" x14ac:dyDescent="0.3">
      <c r="A7" s="1">
        <v>5</v>
      </c>
      <c r="B7" t="s">
        <v>5</v>
      </c>
      <c r="C7">
        <v>15.801481008529599</v>
      </c>
      <c r="D7">
        <v>6</v>
      </c>
      <c r="E7">
        <v>82.334383010864201</v>
      </c>
      <c r="F7">
        <v>4</v>
      </c>
      <c r="G7">
        <v>4</v>
      </c>
      <c r="H7">
        <f t="shared" si="0"/>
        <v>7</v>
      </c>
      <c r="I7">
        <f t="shared" si="0"/>
        <v>7</v>
      </c>
      <c r="J7">
        <f t="shared" si="1"/>
        <v>7</v>
      </c>
      <c r="N7" s="5" t="s">
        <v>10</v>
      </c>
      <c r="O7" s="14">
        <f t="shared" si="2"/>
        <v>4.375</v>
      </c>
      <c r="P7" s="15">
        <f t="shared" si="3"/>
        <v>5</v>
      </c>
      <c r="Q7">
        <f t="shared" si="4"/>
        <v>7.25</v>
      </c>
      <c r="R7" s="15">
        <f t="shared" si="5"/>
        <v>1</v>
      </c>
      <c r="S7">
        <f t="shared" si="6"/>
        <v>5.8125</v>
      </c>
      <c r="T7" s="15">
        <f t="shared" si="7"/>
        <v>2</v>
      </c>
    </row>
    <row r="8" spans="1:20" x14ac:dyDescent="0.3">
      <c r="A8" s="1">
        <v>6</v>
      </c>
      <c r="B8" t="s">
        <v>5</v>
      </c>
      <c r="C8">
        <v>15.801481008529599</v>
      </c>
      <c r="D8">
        <v>7</v>
      </c>
      <c r="E8">
        <v>47.487010240554802</v>
      </c>
      <c r="F8">
        <v>5</v>
      </c>
      <c r="G8">
        <v>5</v>
      </c>
      <c r="H8">
        <f t="shared" si="0"/>
        <v>10</v>
      </c>
      <c r="I8">
        <f t="shared" si="0"/>
        <v>10</v>
      </c>
      <c r="J8">
        <f t="shared" si="1"/>
        <v>10</v>
      </c>
      <c r="N8" s="5" t="s">
        <v>11</v>
      </c>
      <c r="O8" s="14">
        <f t="shared" si="2"/>
        <v>4.75</v>
      </c>
      <c r="P8" s="15">
        <f t="shared" si="3"/>
        <v>3</v>
      </c>
      <c r="Q8">
        <f t="shared" si="4"/>
        <v>5.875</v>
      </c>
      <c r="R8" s="15">
        <f t="shared" si="5"/>
        <v>6</v>
      </c>
      <c r="S8">
        <f t="shared" si="6"/>
        <v>5.3125</v>
      </c>
      <c r="T8" s="15">
        <f t="shared" si="7"/>
        <v>5</v>
      </c>
    </row>
    <row r="9" spans="1:20" x14ac:dyDescent="0.3">
      <c r="A9" s="1">
        <v>7</v>
      </c>
      <c r="B9" t="s">
        <v>5</v>
      </c>
      <c r="C9">
        <v>15.801481008529599</v>
      </c>
      <c r="D9">
        <v>8</v>
      </c>
      <c r="E9">
        <v>36.0610256195068</v>
      </c>
      <c r="F9">
        <v>1</v>
      </c>
      <c r="G9">
        <v>1</v>
      </c>
      <c r="H9">
        <f t="shared" si="0"/>
        <v>0</v>
      </c>
      <c r="I9">
        <f t="shared" si="0"/>
        <v>0</v>
      </c>
      <c r="J9">
        <f t="shared" si="1"/>
        <v>0</v>
      </c>
      <c r="N9" s="5" t="s">
        <v>12</v>
      </c>
      <c r="O9" s="14">
        <f t="shared" si="2"/>
        <v>5.125</v>
      </c>
      <c r="P9" s="15">
        <f t="shared" si="3"/>
        <v>1</v>
      </c>
      <c r="Q9">
        <f t="shared" si="4"/>
        <v>7.25</v>
      </c>
      <c r="R9" s="15">
        <f t="shared" si="5"/>
        <v>1</v>
      </c>
      <c r="S9">
        <f t="shared" si="6"/>
        <v>6.1875</v>
      </c>
      <c r="T9" s="15">
        <f t="shared" si="7"/>
        <v>1</v>
      </c>
    </row>
    <row r="10" spans="1:20" x14ac:dyDescent="0.3">
      <c r="A10" s="1">
        <v>8</v>
      </c>
      <c r="B10" t="s">
        <v>6</v>
      </c>
      <c r="C10">
        <v>6.2938203811645499</v>
      </c>
      <c r="D10">
        <v>1</v>
      </c>
      <c r="E10">
        <v>64.473093986511202</v>
      </c>
      <c r="F10">
        <v>2</v>
      </c>
      <c r="G10">
        <v>5</v>
      </c>
      <c r="H10" s="21">
        <f t="shared" si="0"/>
        <v>0</v>
      </c>
      <c r="I10" s="21">
        <f t="shared" si="0"/>
        <v>10</v>
      </c>
      <c r="J10">
        <f t="shared" si="1"/>
        <v>5</v>
      </c>
      <c r="N10" s="5" t="s">
        <v>20</v>
      </c>
      <c r="O10" s="14">
        <f t="shared" si="2"/>
        <v>4.875</v>
      </c>
      <c r="P10" s="15">
        <f t="shared" si="3"/>
        <v>2</v>
      </c>
      <c r="Q10">
        <f t="shared" si="4"/>
        <v>4.875</v>
      </c>
      <c r="R10" s="15">
        <f t="shared" si="5"/>
        <v>8</v>
      </c>
      <c r="S10">
        <f t="shared" si="6"/>
        <v>4.875</v>
      </c>
      <c r="T10" s="15">
        <f t="shared" si="7"/>
        <v>7</v>
      </c>
    </row>
    <row r="11" spans="1:20" x14ac:dyDescent="0.3">
      <c r="A11" s="1">
        <v>9</v>
      </c>
      <c r="B11" t="s">
        <v>6</v>
      </c>
      <c r="C11">
        <v>6.2938203811645499</v>
      </c>
      <c r="D11">
        <v>2</v>
      </c>
      <c r="E11">
        <v>114.10667490959101</v>
      </c>
      <c r="F11">
        <v>2</v>
      </c>
      <c r="G11">
        <v>3</v>
      </c>
      <c r="H11" s="21">
        <f t="shared" si="0"/>
        <v>0</v>
      </c>
      <c r="I11" s="21">
        <f t="shared" si="0"/>
        <v>4</v>
      </c>
      <c r="J11">
        <f t="shared" si="1"/>
        <v>2</v>
      </c>
    </row>
    <row r="12" spans="1:20" x14ac:dyDescent="0.3">
      <c r="A12" s="1">
        <v>10</v>
      </c>
      <c r="B12" t="s">
        <v>6</v>
      </c>
      <c r="C12">
        <v>6.2938203811645499</v>
      </c>
      <c r="D12">
        <v>3</v>
      </c>
      <c r="E12">
        <v>97.528940916061401</v>
      </c>
      <c r="F12">
        <v>0</v>
      </c>
      <c r="G12">
        <v>0</v>
      </c>
      <c r="H12">
        <f t="shared" si="0"/>
        <v>0</v>
      </c>
      <c r="I12">
        <f t="shared" si="0"/>
        <v>0</v>
      </c>
      <c r="J12">
        <f t="shared" si="1"/>
        <v>0</v>
      </c>
    </row>
    <row r="13" spans="1:20" x14ac:dyDescent="0.3">
      <c r="A13" s="1">
        <v>11</v>
      </c>
      <c r="B13" t="s">
        <v>6</v>
      </c>
      <c r="C13">
        <v>6.2938203811645499</v>
      </c>
      <c r="D13">
        <v>4</v>
      </c>
      <c r="E13">
        <v>142.55571603774999</v>
      </c>
      <c r="F13">
        <v>2</v>
      </c>
      <c r="G13">
        <v>2</v>
      </c>
      <c r="H13">
        <f t="shared" si="0"/>
        <v>0</v>
      </c>
      <c r="I13">
        <f t="shared" si="0"/>
        <v>0</v>
      </c>
      <c r="J13">
        <f t="shared" si="1"/>
        <v>0</v>
      </c>
    </row>
    <row r="14" spans="1:20" x14ac:dyDescent="0.3">
      <c r="A14" s="1">
        <v>12</v>
      </c>
      <c r="B14" t="s">
        <v>6</v>
      </c>
      <c r="C14">
        <v>6.2938203811645499</v>
      </c>
      <c r="D14">
        <v>5</v>
      </c>
      <c r="E14">
        <v>66.140823364257798</v>
      </c>
      <c r="F14">
        <v>5</v>
      </c>
      <c r="G14">
        <v>5</v>
      </c>
      <c r="H14">
        <f t="shared" si="0"/>
        <v>10</v>
      </c>
      <c r="I14">
        <f t="shared" si="0"/>
        <v>10</v>
      </c>
      <c r="J14">
        <f t="shared" si="1"/>
        <v>10</v>
      </c>
    </row>
    <row r="15" spans="1:20" x14ac:dyDescent="0.3">
      <c r="A15" s="1">
        <v>13</v>
      </c>
      <c r="B15" t="s">
        <v>6</v>
      </c>
      <c r="C15">
        <v>6.2938203811645499</v>
      </c>
      <c r="D15">
        <v>6</v>
      </c>
      <c r="E15">
        <v>64.437152385711599</v>
      </c>
      <c r="F15">
        <v>5</v>
      </c>
      <c r="G15">
        <v>5</v>
      </c>
      <c r="H15">
        <f t="shared" si="0"/>
        <v>10</v>
      </c>
      <c r="I15">
        <f t="shared" si="0"/>
        <v>10</v>
      </c>
      <c r="J15">
        <f t="shared" si="1"/>
        <v>10</v>
      </c>
    </row>
    <row r="16" spans="1:20" x14ac:dyDescent="0.3">
      <c r="A16" s="1">
        <v>14</v>
      </c>
      <c r="B16" t="s">
        <v>6</v>
      </c>
      <c r="C16">
        <v>6.2938203811645499</v>
      </c>
      <c r="D16">
        <v>7</v>
      </c>
      <c r="E16">
        <v>68.959645748138399</v>
      </c>
      <c r="F16">
        <v>5</v>
      </c>
      <c r="G16">
        <v>5</v>
      </c>
      <c r="H16">
        <f t="shared" si="0"/>
        <v>10</v>
      </c>
      <c r="I16">
        <f t="shared" si="0"/>
        <v>10</v>
      </c>
      <c r="J16">
        <f t="shared" si="1"/>
        <v>10</v>
      </c>
    </row>
    <row r="17" spans="1:10" x14ac:dyDescent="0.3">
      <c r="A17" s="1">
        <v>15</v>
      </c>
      <c r="B17" t="s">
        <v>6</v>
      </c>
      <c r="C17">
        <v>6.2938203811645499</v>
      </c>
      <c r="D17">
        <v>8</v>
      </c>
      <c r="E17">
        <v>42.423669815063398</v>
      </c>
      <c r="F17">
        <v>0</v>
      </c>
      <c r="G17">
        <v>0</v>
      </c>
      <c r="H17">
        <f t="shared" si="0"/>
        <v>0</v>
      </c>
      <c r="I17">
        <f t="shared" si="0"/>
        <v>0</v>
      </c>
      <c r="J17">
        <f t="shared" si="1"/>
        <v>0</v>
      </c>
    </row>
    <row r="18" spans="1:10" x14ac:dyDescent="0.3">
      <c r="A18" s="1">
        <v>16</v>
      </c>
      <c r="B18" t="s">
        <v>7</v>
      </c>
      <c r="C18">
        <v>0.57183408737182595</v>
      </c>
      <c r="D18">
        <v>1</v>
      </c>
      <c r="E18">
        <v>19.9783871173858</v>
      </c>
      <c r="F18">
        <v>2</v>
      </c>
      <c r="G18">
        <v>5</v>
      </c>
      <c r="H18" s="21">
        <f t="shared" si="0"/>
        <v>0</v>
      </c>
      <c r="I18" s="21">
        <f t="shared" si="0"/>
        <v>10</v>
      </c>
      <c r="J18">
        <f t="shared" si="1"/>
        <v>5</v>
      </c>
    </row>
    <row r="19" spans="1:10" x14ac:dyDescent="0.3">
      <c r="A19" s="1">
        <v>17</v>
      </c>
      <c r="B19" t="s">
        <v>7</v>
      </c>
      <c r="C19">
        <v>0.57183408737182595</v>
      </c>
      <c r="D19">
        <v>2</v>
      </c>
      <c r="E19">
        <v>20.872923374176001</v>
      </c>
      <c r="F19">
        <v>3</v>
      </c>
      <c r="G19">
        <v>5</v>
      </c>
      <c r="H19" s="21">
        <f t="shared" si="0"/>
        <v>4</v>
      </c>
      <c r="I19" s="21">
        <f t="shared" si="0"/>
        <v>10</v>
      </c>
      <c r="J19">
        <f t="shared" si="1"/>
        <v>7</v>
      </c>
    </row>
    <row r="20" spans="1:10" x14ac:dyDescent="0.3">
      <c r="A20" s="1">
        <v>18</v>
      </c>
      <c r="B20" t="s">
        <v>7</v>
      </c>
      <c r="C20">
        <v>0.57183408737182595</v>
      </c>
      <c r="D20">
        <v>3</v>
      </c>
      <c r="E20">
        <v>23.001330614089898</v>
      </c>
      <c r="F20">
        <v>3</v>
      </c>
      <c r="G20">
        <v>3</v>
      </c>
      <c r="H20">
        <f t="shared" si="0"/>
        <v>4</v>
      </c>
      <c r="I20">
        <f t="shared" si="0"/>
        <v>4</v>
      </c>
      <c r="J20">
        <f t="shared" si="1"/>
        <v>4</v>
      </c>
    </row>
    <row r="21" spans="1:10" x14ac:dyDescent="0.3">
      <c r="A21" s="1">
        <v>19</v>
      </c>
      <c r="B21" t="s">
        <v>7</v>
      </c>
      <c r="C21">
        <v>0.57183408737182595</v>
      </c>
      <c r="D21">
        <v>4</v>
      </c>
      <c r="E21">
        <v>21.948718309402398</v>
      </c>
      <c r="F21">
        <v>1</v>
      </c>
      <c r="G21">
        <v>2</v>
      </c>
      <c r="H21">
        <f t="shared" si="0"/>
        <v>0</v>
      </c>
      <c r="I21">
        <f t="shared" si="0"/>
        <v>0</v>
      </c>
      <c r="J21">
        <f t="shared" si="1"/>
        <v>0</v>
      </c>
    </row>
    <row r="22" spans="1:10" x14ac:dyDescent="0.3">
      <c r="A22" s="1">
        <v>20</v>
      </c>
      <c r="B22" t="s">
        <v>7</v>
      </c>
      <c r="C22">
        <v>0.57183408737182595</v>
      </c>
      <c r="D22">
        <v>5</v>
      </c>
      <c r="E22">
        <v>8.2534608840942294</v>
      </c>
      <c r="F22">
        <v>5</v>
      </c>
      <c r="G22">
        <v>5</v>
      </c>
      <c r="H22">
        <f t="shared" si="0"/>
        <v>10</v>
      </c>
      <c r="I22">
        <f t="shared" si="0"/>
        <v>10</v>
      </c>
      <c r="J22">
        <f t="shared" si="1"/>
        <v>10</v>
      </c>
    </row>
    <row r="23" spans="1:10" x14ac:dyDescent="0.3">
      <c r="A23" s="1">
        <v>21</v>
      </c>
      <c r="B23" t="s">
        <v>7</v>
      </c>
      <c r="C23">
        <v>0.57183408737182595</v>
      </c>
      <c r="D23">
        <v>6</v>
      </c>
      <c r="E23">
        <v>10.8679308891296</v>
      </c>
      <c r="F23">
        <v>5</v>
      </c>
      <c r="G23">
        <v>5</v>
      </c>
      <c r="H23">
        <f t="shared" si="0"/>
        <v>10</v>
      </c>
      <c r="I23">
        <f t="shared" si="0"/>
        <v>10</v>
      </c>
      <c r="J23">
        <f t="shared" si="1"/>
        <v>10</v>
      </c>
    </row>
    <row r="24" spans="1:10" x14ac:dyDescent="0.3">
      <c r="A24" s="1">
        <v>22</v>
      </c>
      <c r="B24" t="s">
        <v>7</v>
      </c>
      <c r="C24">
        <v>0.57183408737182595</v>
      </c>
      <c r="D24">
        <v>7</v>
      </c>
      <c r="E24">
        <v>13.197674751281699</v>
      </c>
      <c r="F24">
        <v>3</v>
      </c>
      <c r="G24">
        <v>1</v>
      </c>
      <c r="H24" s="21">
        <f t="shared" si="0"/>
        <v>4</v>
      </c>
      <c r="I24" s="21">
        <f t="shared" si="0"/>
        <v>0</v>
      </c>
      <c r="J24">
        <f t="shared" si="1"/>
        <v>2</v>
      </c>
    </row>
    <row r="25" spans="1:10" x14ac:dyDescent="0.3">
      <c r="A25" s="1">
        <v>23</v>
      </c>
      <c r="B25" t="s">
        <v>7</v>
      </c>
      <c r="C25">
        <v>0.57183408737182595</v>
      </c>
      <c r="D25">
        <v>8</v>
      </c>
      <c r="E25">
        <v>7.7125961780548096</v>
      </c>
      <c r="F25">
        <v>3</v>
      </c>
      <c r="G25">
        <v>5</v>
      </c>
      <c r="H25" s="21">
        <f t="shared" si="0"/>
        <v>4</v>
      </c>
      <c r="I25" s="21">
        <f t="shared" si="0"/>
        <v>10</v>
      </c>
      <c r="J25">
        <f t="shared" si="1"/>
        <v>7</v>
      </c>
    </row>
    <row r="26" spans="1:10" x14ac:dyDescent="0.3">
      <c r="A26" s="1">
        <v>24</v>
      </c>
      <c r="B26" t="s">
        <v>8</v>
      </c>
      <c r="C26">
        <v>6.1493330001831001</v>
      </c>
      <c r="D26">
        <v>1</v>
      </c>
      <c r="E26">
        <v>50.9238665103912</v>
      </c>
      <c r="F26">
        <v>2</v>
      </c>
      <c r="G26">
        <v>5</v>
      </c>
      <c r="H26" s="21">
        <f t="shared" si="0"/>
        <v>0</v>
      </c>
      <c r="I26" s="21">
        <f t="shared" si="0"/>
        <v>10</v>
      </c>
      <c r="J26">
        <f t="shared" si="1"/>
        <v>5</v>
      </c>
    </row>
    <row r="27" spans="1:10" x14ac:dyDescent="0.3">
      <c r="A27" s="1">
        <v>25</v>
      </c>
      <c r="B27" t="s">
        <v>8</v>
      </c>
      <c r="C27">
        <v>6.1493330001831001</v>
      </c>
      <c r="D27">
        <v>2</v>
      </c>
      <c r="E27">
        <v>47.444764137268002</v>
      </c>
      <c r="F27">
        <v>2</v>
      </c>
      <c r="G27">
        <v>3</v>
      </c>
      <c r="H27" s="21">
        <f t="shared" si="0"/>
        <v>0</v>
      </c>
      <c r="I27" s="21">
        <f t="shared" si="0"/>
        <v>4</v>
      </c>
      <c r="J27">
        <f t="shared" si="1"/>
        <v>2</v>
      </c>
    </row>
    <row r="28" spans="1:10" x14ac:dyDescent="0.3">
      <c r="A28" s="1">
        <v>26</v>
      </c>
      <c r="B28" t="s">
        <v>8</v>
      </c>
      <c r="C28">
        <v>6.1493330001831001</v>
      </c>
      <c r="D28">
        <v>3</v>
      </c>
      <c r="E28">
        <v>56.508896827697697</v>
      </c>
      <c r="F28">
        <v>3</v>
      </c>
      <c r="G28">
        <v>3</v>
      </c>
      <c r="H28" s="21">
        <f t="shared" si="0"/>
        <v>4</v>
      </c>
      <c r="I28" s="21">
        <f t="shared" si="0"/>
        <v>4</v>
      </c>
      <c r="J28">
        <f t="shared" si="1"/>
        <v>4</v>
      </c>
    </row>
    <row r="29" spans="1:10" x14ac:dyDescent="0.3">
      <c r="A29" s="1">
        <v>27</v>
      </c>
      <c r="B29" t="s">
        <v>8</v>
      </c>
      <c r="C29">
        <v>6.1493330001831001</v>
      </c>
      <c r="D29">
        <v>4</v>
      </c>
      <c r="E29">
        <v>46.002741813659597</v>
      </c>
      <c r="F29">
        <v>5</v>
      </c>
      <c r="G29">
        <v>5</v>
      </c>
      <c r="H29">
        <f t="shared" si="0"/>
        <v>10</v>
      </c>
      <c r="I29">
        <f t="shared" si="0"/>
        <v>10</v>
      </c>
      <c r="J29">
        <f t="shared" si="1"/>
        <v>10</v>
      </c>
    </row>
    <row r="30" spans="1:10" x14ac:dyDescent="0.3">
      <c r="A30" s="1">
        <v>28</v>
      </c>
      <c r="B30" t="s">
        <v>8</v>
      </c>
      <c r="C30">
        <v>6.1493330001831001</v>
      </c>
      <c r="D30">
        <v>5</v>
      </c>
      <c r="E30">
        <v>42.520731687545698</v>
      </c>
      <c r="F30">
        <v>5</v>
      </c>
      <c r="G30">
        <v>5</v>
      </c>
      <c r="H30">
        <f t="shared" si="0"/>
        <v>10</v>
      </c>
      <c r="I30">
        <f t="shared" si="0"/>
        <v>10</v>
      </c>
      <c r="J30">
        <f t="shared" si="1"/>
        <v>10</v>
      </c>
    </row>
    <row r="31" spans="1:10" x14ac:dyDescent="0.3">
      <c r="A31" s="1">
        <v>29</v>
      </c>
      <c r="B31" t="s">
        <v>8</v>
      </c>
      <c r="C31">
        <v>6.1493330001831001</v>
      </c>
      <c r="D31">
        <v>6</v>
      </c>
      <c r="E31">
        <v>49.383001565933199</v>
      </c>
      <c r="F31">
        <v>5</v>
      </c>
      <c r="G31">
        <v>5</v>
      </c>
      <c r="H31">
        <f t="shared" si="0"/>
        <v>10</v>
      </c>
      <c r="I31">
        <f t="shared" si="0"/>
        <v>10</v>
      </c>
      <c r="J31">
        <f t="shared" si="1"/>
        <v>10</v>
      </c>
    </row>
    <row r="32" spans="1:10" x14ac:dyDescent="0.3">
      <c r="A32" s="1">
        <v>30</v>
      </c>
      <c r="B32" t="s">
        <v>8</v>
      </c>
      <c r="C32">
        <v>6.1493330001831001</v>
      </c>
      <c r="D32">
        <v>7</v>
      </c>
      <c r="E32">
        <v>51.771876573562601</v>
      </c>
      <c r="F32">
        <v>1</v>
      </c>
      <c r="G32">
        <v>1</v>
      </c>
      <c r="H32">
        <f t="shared" si="0"/>
        <v>0</v>
      </c>
      <c r="I32">
        <f t="shared" si="0"/>
        <v>0</v>
      </c>
      <c r="J32">
        <f t="shared" si="1"/>
        <v>0</v>
      </c>
    </row>
    <row r="33" spans="1:10" x14ac:dyDescent="0.3">
      <c r="A33" s="1">
        <v>31</v>
      </c>
      <c r="B33" t="s">
        <v>8</v>
      </c>
      <c r="C33">
        <v>6.1493330001831001</v>
      </c>
      <c r="D33">
        <v>8</v>
      </c>
      <c r="E33">
        <v>46.551281690597499</v>
      </c>
      <c r="F33">
        <v>1</v>
      </c>
      <c r="G33">
        <v>1</v>
      </c>
      <c r="H33">
        <f t="shared" si="0"/>
        <v>0</v>
      </c>
      <c r="I33">
        <f t="shared" si="0"/>
        <v>0</v>
      </c>
      <c r="J33">
        <f t="shared" si="1"/>
        <v>0</v>
      </c>
    </row>
    <row r="34" spans="1:10" x14ac:dyDescent="0.3">
      <c r="A34" s="1">
        <v>32</v>
      </c>
      <c r="B34" t="s">
        <v>9</v>
      </c>
      <c r="C34">
        <v>29.326041460037199</v>
      </c>
      <c r="D34">
        <v>1</v>
      </c>
      <c r="E34">
        <v>33.343206167220998</v>
      </c>
      <c r="F34">
        <v>3</v>
      </c>
      <c r="G34">
        <v>5</v>
      </c>
      <c r="H34" s="21">
        <f t="shared" si="0"/>
        <v>4</v>
      </c>
      <c r="I34" s="21">
        <f t="shared" si="0"/>
        <v>10</v>
      </c>
      <c r="J34">
        <f t="shared" si="1"/>
        <v>7</v>
      </c>
    </row>
    <row r="35" spans="1:10" x14ac:dyDescent="0.3">
      <c r="A35" s="1">
        <v>33</v>
      </c>
      <c r="B35" t="s">
        <v>9</v>
      </c>
      <c r="C35">
        <v>29.326041460037199</v>
      </c>
      <c r="D35">
        <v>2</v>
      </c>
      <c r="E35">
        <v>49.817709922790499</v>
      </c>
      <c r="F35">
        <v>3</v>
      </c>
      <c r="G35">
        <v>5</v>
      </c>
      <c r="H35" s="21">
        <f t="shared" si="0"/>
        <v>4</v>
      </c>
      <c r="I35" s="21">
        <f t="shared" si="0"/>
        <v>10</v>
      </c>
      <c r="J35">
        <f t="shared" si="1"/>
        <v>7</v>
      </c>
    </row>
    <row r="36" spans="1:10" x14ac:dyDescent="0.3">
      <c r="A36" s="1">
        <v>34</v>
      </c>
      <c r="B36" t="s">
        <v>9</v>
      </c>
      <c r="C36">
        <v>29.326041460037199</v>
      </c>
      <c r="D36">
        <v>3</v>
      </c>
      <c r="E36">
        <v>11.8494668006896</v>
      </c>
      <c r="F36">
        <v>3</v>
      </c>
      <c r="G36">
        <v>3</v>
      </c>
      <c r="H36">
        <f t="shared" si="0"/>
        <v>4</v>
      </c>
      <c r="I36">
        <f t="shared" si="0"/>
        <v>4</v>
      </c>
      <c r="J36">
        <f t="shared" si="1"/>
        <v>4</v>
      </c>
    </row>
    <row r="37" spans="1:10" x14ac:dyDescent="0.3">
      <c r="A37" s="1">
        <v>35</v>
      </c>
      <c r="B37" t="s">
        <v>9</v>
      </c>
      <c r="C37">
        <v>29.326041460037199</v>
      </c>
      <c r="D37">
        <v>4</v>
      </c>
      <c r="E37">
        <v>11.0385563373565</v>
      </c>
      <c r="F37">
        <v>2</v>
      </c>
      <c r="G37">
        <v>5</v>
      </c>
      <c r="H37">
        <f t="shared" si="0"/>
        <v>0</v>
      </c>
      <c r="I37">
        <f t="shared" si="0"/>
        <v>10</v>
      </c>
      <c r="J37">
        <f t="shared" si="1"/>
        <v>5</v>
      </c>
    </row>
    <row r="38" spans="1:10" x14ac:dyDescent="0.3">
      <c r="A38" s="1">
        <v>36</v>
      </c>
      <c r="B38" t="s">
        <v>9</v>
      </c>
      <c r="C38">
        <v>29.326041460037199</v>
      </c>
      <c r="D38">
        <v>5</v>
      </c>
      <c r="E38">
        <v>5.6263835430145201</v>
      </c>
      <c r="F38">
        <v>5</v>
      </c>
      <c r="G38">
        <v>5</v>
      </c>
      <c r="H38">
        <f t="shared" si="0"/>
        <v>10</v>
      </c>
      <c r="I38">
        <f t="shared" si="0"/>
        <v>10</v>
      </c>
      <c r="J38">
        <f t="shared" si="1"/>
        <v>10</v>
      </c>
    </row>
    <row r="39" spans="1:10" x14ac:dyDescent="0.3">
      <c r="A39" s="1">
        <v>37</v>
      </c>
      <c r="B39" t="s">
        <v>9</v>
      </c>
      <c r="C39">
        <v>29.326041460037199</v>
      </c>
      <c r="D39">
        <v>6</v>
      </c>
      <c r="E39">
        <v>8.0033855438232404</v>
      </c>
      <c r="F39">
        <v>5</v>
      </c>
      <c r="G39">
        <v>5</v>
      </c>
      <c r="H39">
        <f t="shared" si="0"/>
        <v>10</v>
      </c>
      <c r="I39">
        <f t="shared" si="0"/>
        <v>10</v>
      </c>
      <c r="J39">
        <f t="shared" si="1"/>
        <v>10</v>
      </c>
    </row>
    <row r="40" spans="1:10" x14ac:dyDescent="0.3">
      <c r="A40" s="1">
        <v>38</v>
      </c>
      <c r="B40" t="s">
        <v>9</v>
      </c>
      <c r="C40">
        <v>29.326041460037199</v>
      </c>
      <c r="D40">
        <v>7</v>
      </c>
      <c r="E40">
        <v>7.7791230678558296</v>
      </c>
      <c r="F40">
        <v>1</v>
      </c>
      <c r="G40">
        <v>1</v>
      </c>
      <c r="H40">
        <f t="shared" si="0"/>
        <v>0</v>
      </c>
      <c r="I40">
        <f t="shared" si="0"/>
        <v>0</v>
      </c>
      <c r="J40">
        <f t="shared" si="1"/>
        <v>0</v>
      </c>
    </row>
    <row r="41" spans="1:10" x14ac:dyDescent="0.3">
      <c r="A41" s="1">
        <v>39</v>
      </c>
      <c r="B41" t="s">
        <v>9</v>
      </c>
      <c r="C41">
        <v>29.326041460037199</v>
      </c>
      <c r="D41">
        <v>8</v>
      </c>
      <c r="E41">
        <v>7.1672716140746999</v>
      </c>
      <c r="F41">
        <v>1</v>
      </c>
      <c r="G41">
        <v>1</v>
      </c>
      <c r="H41">
        <f t="shared" si="0"/>
        <v>0</v>
      </c>
      <c r="I41">
        <f t="shared" si="0"/>
        <v>0</v>
      </c>
      <c r="J41">
        <f t="shared" si="1"/>
        <v>0</v>
      </c>
    </row>
    <row r="42" spans="1:10" x14ac:dyDescent="0.3">
      <c r="A42" s="1">
        <v>40</v>
      </c>
      <c r="B42" t="s">
        <v>10</v>
      </c>
      <c r="C42">
        <v>24.744769573211599</v>
      </c>
      <c r="D42">
        <v>1</v>
      </c>
      <c r="E42">
        <v>170.99432849883999</v>
      </c>
      <c r="F42">
        <v>2</v>
      </c>
      <c r="G42">
        <v>5</v>
      </c>
      <c r="H42" s="21">
        <f t="shared" si="0"/>
        <v>0</v>
      </c>
      <c r="I42" s="21">
        <f t="shared" si="0"/>
        <v>10</v>
      </c>
      <c r="J42">
        <f t="shared" si="1"/>
        <v>5</v>
      </c>
    </row>
    <row r="43" spans="1:10" x14ac:dyDescent="0.3">
      <c r="A43" s="1">
        <v>41</v>
      </c>
      <c r="B43" t="s">
        <v>10</v>
      </c>
      <c r="C43">
        <v>24.744769573211599</v>
      </c>
      <c r="D43">
        <v>2</v>
      </c>
      <c r="E43">
        <v>222.79118943214399</v>
      </c>
      <c r="F43">
        <v>3</v>
      </c>
      <c r="G43">
        <v>5</v>
      </c>
      <c r="H43" s="21">
        <f t="shared" si="0"/>
        <v>4</v>
      </c>
      <c r="I43" s="21">
        <f t="shared" si="0"/>
        <v>10</v>
      </c>
      <c r="J43">
        <f t="shared" si="1"/>
        <v>7</v>
      </c>
    </row>
    <row r="44" spans="1:10" x14ac:dyDescent="0.3">
      <c r="A44" s="1">
        <v>42</v>
      </c>
      <c r="B44" t="s">
        <v>10</v>
      </c>
      <c r="C44">
        <v>24.744769573211599</v>
      </c>
      <c r="D44">
        <v>3</v>
      </c>
      <c r="E44">
        <v>208.73102378845201</v>
      </c>
      <c r="F44">
        <v>3</v>
      </c>
      <c r="G44">
        <v>3</v>
      </c>
      <c r="H44">
        <f t="shared" si="0"/>
        <v>4</v>
      </c>
      <c r="I44">
        <f t="shared" si="0"/>
        <v>4</v>
      </c>
      <c r="J44">
        <f t="shared" si="1"/>
        <v>4</v>
      </c>
    </row>
    <row r="45" spans="1:10" x14ac:dyDescent="0.3">
      <c r="A45" s="1">
        <v>43</v>
      </c>
      <c r="B45" t="s">
        <v>10</v>
      </c>
      <c r="C45">
        <v>24.744769573211599</v>
      </c>
      <c r="D45">
        <v>4</v>
      </c>
      <c r="E45">
        <v>254.35646986961299</v>
      </c>
      <c r="F45">
        <v>1</v>
      </c>
      <c r="G45">
        <v>3</v>
      </c>
      <c r="H45" s="21">
        <f t="shared" si="0"/>
        <v>0</v>
      </c>
      <c r="I45" s="21">
        <f t="shared" si="0"/>
        <v>4</v>
      </c>
      <c r="J45">
        <f t="shared" si="1"/>
        <v>2</v>
      </c>
    </row>
    <row r="46" spans="1:10" x14ac:dyDescent="0.3">
      <c r="A46" s="1">
        <v>44</v>
      </c>
      <c r="B46" t="s">
        <v>10</v>
      </c>
      <c r="C46">
        <v>24.744769573211599</v>
      </c>
      <c r="D46">
        <v>5</v>
      </c>
      <c r="E46">
        <v>148.66101789474399</v>
      </c>
      <c r="F46">
        <v>5</v>
      </c>
      <c r="G46">
        <v>5</v>
      </c>
      <c r="H46">
        <f t="shared" si="0"/>
        <v>10</v>
      </c>
      <c r="I46">
        <f t="shared" si="0"/>
        <v>10</v>
      </c>
      <c r="J46">
        <f t="shared" si="1"/>
        <v>10</v>
      </c>
    </row>
    <row r="47" spans="1:10" x14ac:dyDescent="0.3">
      <c r="A47" s="1">
        <v>45</v>
      </c>
      <c r="B47" t="s">
        <v>10</v>
      </c>
      <c r="C47">
        <v>24.744769573211599</v>
      </c>
      <c r="D47">
        <v>6</v>
      </c>
      <c r="E47">
        <v>128.395906209945</v>
      </c>
      <c r="F47">
        <v>5</v>
      </c>
      <c r="G47">
        <v>5</v>
      </c>
      <c r="H47">
        <f t="shared" si="0"/>
        <v>10</v>
      </c>
      <c r="I47">
        <f t="shared" si="0"/>
        <v>10</v>
      </c>
      <c r="J47">
        <f t="shared" si="1"/>
        <v>10</v>
      </c>
    </row>
    <row r="48" spans="1:10" x14ac:dyDescent="0.3">
      <c r="A48" s="1">
        <v>46</v>
      </c>
      <c r="B48" t="s">
        <v>10</v>
      </c>
      <c r="C48">
        <v>24.744769573211599</v>
      </c>
      <c r="D48">
        <v>7</v>
      </c>
      <c r="E48">
        <v>135.946074008941</v>
      </c>
      <c r="F48">
        <v>4</v>
      </c>
      <c r="G48">
        <v>5</v>
      </c>
      <c r="H48" s="21">
        <f t="shared" si="0"/>
        <v>7</v>
      </c>
      <c r="I48" s="21">
        <f t="shared" si="0"/>
        <v>10</v>
      </c>
      <c r="J48">
        <f t="shared" si="1"/>
        <v>8.5</v>
      </c>
    </row>
    <row r="49" spans="1:10" x14ac:dyDescent="0.3">
      <c r="A49" s="1">
        <v>47</v>
      </c>
      <c r="B49" t="s">
        <v>10</v>
      </c>
      <c r="C49">
        <v>24.744769573211599</v>
      </c>
      <c r="D49">
        <v>8</v>
      </c>
      <c r="E49">
        <v>110.301704883575</v>
      </c>
      <c r="F49">
        <v>1</v>
      </c>
      <c r="G49">
        <v>1</v>
      </c>
      <c r="H49">
        <f t="shared" si="0"/>
        <v>0</v>
      </c>
      <c r="I49">
        <f t="shared" si="0"/>
        <v>0</v>
      </c>
      <c r="J49">
        <f t="shared" si="1"/>
        <v>0</v>
      </c>
    </row>
    <row r="50" spans="1:10" x14ac:dyDescent="0.3">
      <c r="A50" s="1">
        <v>48</v>
      </c>
      <c r="B50" t="s">
        <v>11</v>
      </c>
      <c r="C50">
        <v>21.0900430679321</v>
      </c>
      <c r="D50">
        <v>1</v>
      </c>
      <c r="E50">
        <v>147.12869071960401</v>
      </c>
      <c r="F50">
        <v>2</v>
      </c>
      <c r="G50">
        <v>0</v>
      </c>
      <c r="H50">
        <f t="shared" si="0"/>
        <v>0</v>
      </c>
      <c r="I50">
        <f t="shared" si="0"/>
        <v>0</v>
      </c>
      <c r="J50">
        <f t="shared" si="1"/>
        <v>0</v>
      </c>
    </row>
    <row r="51" spans="1:10" x14ac:dyDescent="0.3">
      <c r="A51" s="1">
        <v>49</v>
      </c>
      <c r="B51" t="s">
        <v>11</v>
      </c>
      <c r="C51">
        <v>21.0900430679321</v>
      </c>
      <c r="D51">
        <v>2</v>
      </c>
      <c r="E51">
        <v>332.27250838279701</v>
      </c>
      <c r="F51">
        <v>3</v>
      </c>
      <c r="G51">
        <v>4</v>
      </c>
      <c r="H51" s="21">
        <f t="shared" si="0"/>
        <v>4</v>
      </c>
      <c r="I51" s="21">
        <f t="shared" si="0"/>
        <v>7</v>
      </c>
      <c r="J51">
        <f t="shared" si="1"/>
        <v>5.5</v>
      </c>
    </row>
    <row r="52" spans="1:10" x14ac:dyDescent="0.3">
      <c r="A52" s="1">
        <v>50</v>
      </c>
      <c r="B52" t="s">
        <v>11</v>
      </c>
      <c r="C52">
        <v>21.0900430679321</v>
      </c>
      <c r="D52">
        <v>3</v>
      </c>
      <c r="E52">
        <v>209.75028800964299</v>
      </c>
      <c r="F52">
        <v>0</v>
      </c>
      <c r="G52">
        <v>0</v>
      </c>
      <c r="H52">
        <f t="shared" si="0"/>
        <v>0</v>
      </c>
      <c r="I52">
        <f t="shared" si="0"/>
        <v>0</v>
      </c>
      <c r="J52">
        <f t="shared" si="1"/>
        <v>0</v>
      </c>
    </row>
    <row r="53" spans="1:10" x14ac:dyDescent="0.3">
      <c r="A53" s="1">
        <v>51</v>
      </c>
      <c r="B53" t="s">
        <v>11</v>
      </c>
      <c r="C53">
        <v>21.0900430679321</v>
      </c>
      <c r="D53">
        <v>4</v>
      </c>
      <c r="E53">
        <v>229.05797410011201</v>
      </c>
      <c r="F53">
        <v>3</v>
      </c>
      <c r="G53">
        <v>5</v>
      </c>
      <c r="H53" s="21">
        <f t="shared" si="0"/>
        <v>4</v>
      </c>
      <c r="I53" s="21">
        <f t="shared" si="0"/>
        <v>10</v>
      </c>
      <c r="J53">
        <f t="shared" si="1"/>
        <v>7</v>
      </c>
    </row>
    <row r="54" spans="1:10" x14ac:dyDescent="0.3">
      <c r="A54" s="1">
        <v>52</v>
      </c>
      <c r="B54" t="s">
        <v>11</v>
      </c>
      <c r="C54">
        <v>21.0900430679321</v>
      </c>
      <c r="D54">
        <v>5</v>
      </c>
      <c r="E54">
        <v>131.553849220275</v>
      </c>
      <c r="F54">
        <v>5</v>
      </c>
      <c r="G54">
        <v>5</v>
      </c>
      <c r="H54">
        <f t="shared" si="0"/>
        <v>10</v>
      </c>
      <c r="I54">
        <f t="shared" si="0"/>
        <v>10</v>
      </c>
      <c r="J54">
        <f t="shared" si="1"/>
        <v>10</v>
      </c>
    </row>
    <row r="55" spans="1:10" x14ac:dyDescent="0.3">
      <c r="A55" s="1">
        <v>53</v>
      </c>
      <c r="B55" t="s">
        <v>11</v>
      </c>
      <c r="C55">
        <v>21.0900430679321</v>
      </c>
      <c r="D55">
        <v>6</v>
      </c>
      <c r="E55">
        <v>157.43982648849399</v>
      </c>
      <c r="F55">
        <v>5</v>
      </c>
      <c r="G55">
        <v>5</v>
      </c>
      <c r="H55">
        <f t="shared" si="0"/>
        <v>10</v>
      </c>
      <c r="I55">
        <f t="shared" si="0"/>
        <v>10</v>
      </c>
      <c r="J55">
        <f t="shared" si="1"/>
        <v>10</v>
      </c>
    </row>
    <row r="56" spans="1:10" x14ac:dyDescent="0.3">
      <c r="A56" s="1">
        <v>54</v>
      </c>
      <c r="B56" t="s">
        <v>11</v>
      </c>
      <c r="C56">
        <v>21.0900430679321</v>
      </c>
      <c r="D56">
        <v>7</v>
      </c>
      <c r="E56">
        <v>152.90298271179199</v>
      </c>
      <c r="F56">
        <v>5</v>
      </c>
      <c r="G56">
        <v>5</v>
      </c>
      <c r="H56">
        <f t="shared" si="0"/>
        <v>10</v>
      </c>
      <c r="I56">
        <f t="shared" si="0"/>
        <v>10</v>
      </c>
      <c r="J56">
        <f t="shared" si="1"/>
        <v>10</v>
      </c>
    </row>
    <row r="57" spans="1:10" x14ac:dyDescent="0.3">
      <c r="A57" s="1">
        <v>55</v>
      </c>
      <c r="B57" t="s">
        <v>11</v>
      </c>
      <c r="C57">
        <v>21.0900430679321</v>
      </c>
      <c r="D57">
        <v>8</v>
      </c>
      <c r="E57">
        <v>152.20926284789999</v>
      </c>
      <c r="F57">
        <v>1</v>
      </c>
      <c r="G57">
        <v>1</v>
      </c>
      <c r="H57">
        <f t="shared" si="0"/>
        <v>0</v>
      </c>
      <c r="I57">
        <f t="shared" si="0"/>
        <v>0</v>
      </c>
      <c r="J57">
        <f t="shared" si="1"/>
        <v>0</v>
      </c>
    </row>
    <row r="58" spans="1:10" x14ac:dyDescent="0.3">
      <c r="A58" s="1">
        <v>56</v>
      </c>
      <c r="B58" t="s">
        <v>12</v>
      </c>
      <c r="C58">
        <v>11.562474727630599</v>
      </c>
      <c r="D58">
        <v>1</v>
      </c>
      <c r="E58">
        <v>405.07207918167097</v>
      </c>
      <c r="F58">
        <v>1</v>
      </c>
      <c r="G58">
        <v>5</v>
      </c>
      <c r="H58" s="21">
        <f t="shared" si="0"/>
        <v>0</v>
      </c>
      <c r="I58" s="21">
        <f t="shared" si="0"/>
        <v>10</v>
      </c>
      <c r="J58">
        <f t="shared" si="1"/>
        <v>5</v>
      </c>
    </row>
    <row r="59" spans="1:10" x14ac:dyDescent="0.3">
      <c r="A59" s="1">
        <v>57</v>
      </c>
      <c r="B59" t="s">
        <v>12</v>
      </c>
      <c r="C59">
        <v>11.562474727630599</v>
      </c>
      <c r="D59">
        <v>2</v>
      </c>
      <c r="E59">
        <v>461.84973669052101</v>
      </c>
      <c r="F59">
        <v>2</v>
      </c>
      <c r="G59">
        <v>3</v>
      </c>
      <c r="H59" s="21">
        <f t="shared" si="0"/>
        <v>0</v>
      </c>
      <c r="I59" s="21">
        <f t="shared" si="0"/>
        <v>4</v>
      </c>
      <c r="J59">
        <f t="shared" si="1"/>
        <v>2</v>
      </c>
    </row>
    <row r="60" spans="1:10" x14ac:dyDescent="0.3">
      <c r="A60" s="1">
        <v>58</v>
      </c>
      <c r="B60" t="s">
        <v>12</v>
      </c>
      <c r="C60">
        <v>11.562474727630599</v>
      </c>
      <c r="D60">
        <v>3</v>
      </c>
      <c r="E60">
        <v>415.86915183067299</v>
      </c>
      <c r="F60">
        <v>3</v>
      </c>
      <c r="G60">
        <v>3</v>
      </c>
      <c r="H60">
        <f t="shared" si="0"/>
        <v>4</v>
      </c>
      <c r="I60">
        <f t="shared" si="0"/>
        <v>4</v>
      </c>
      <c r="J60">
        <f t="shared" si="1"/>
        <v>4</v>
      </c>
    </row>
    <row r="61" spans="1:10" x14ac:dyDescent="0.3">
      <c r="A61" s="1">
        <v>59</v>
      </c>
      <c r="B61" t="s">
        <v>12</v>
      </c>
      <c r="C61">
        <v>11.562474727630599</v>
      </c>
      <c r="D61">
        <v>4</v>
      </c>
      <c r="E61">
        <v>358.26894545555098</v>
      </c>
      <c r="F61">
        <v>5</v>
      </c>
      <c r="G61">
        <v>5</v>
      </c>
      <c r="H61">
        <f t="shared" si="0"/>
        <v>10</v>
      </c>
      <c r="I61">
        <f t="shared" si="0"/>
        <v>10</v>
      </c>
      <c r="J61">
        <f t="shared" si="1"/>
        <v>10</v>
      </c>
    </row>
    <row r="62" spans="1:10" x14ac:dyDescent="0.3">
      <c r="A62" s="1">
        <v>60</v>
      </c>
      <c r="B62" t="s">
        <v>12</v>
      </c>
      <c r="C62">
        <v>11.562474727630599</v>
      </c>
      <c r="D62">
        <v>5</v>
      </c>
      <c r="E62">
        <v>365.82509660720802</v>
      </c>
      <c r="F62">
        <v>5</v>
      </c>
      <c r="G62">
        <v>5</v>
      </c>
      <c r="H62">
        <f t="shared" si="0"/>
        <v>10</v>
      </c>
      <c r="I62">
        <f t="shared" si="0"/>
        <v>10</v>
      </c>
      <c r="J62">
        <f t="shared" si="1"/>
        <v>10</v>
      </c>
    </row>
    <row r="63" spans="1:10" x14ac:dyDescent="0.3">
      <c r="A63" s="1">
        <v>61</v>
      </c>
      <c r="B63" t="s">
        <v>12</v>
      </c>
      <c r="C63">
        <v>11.562474727630599</v>
      </c>
      <c r="D63">
        <v>6</v>
      </c>
      <c r="E63">
        <v>367.23003387451098</v>
      </c>
      <c r="F63">
        <v>5</v>
      </c>
      <c r="G63">
        <v>5</v>
      </c>
      <c r="H63">
        <f t="shared" si="0"/>
        <v>10</v>
      </c>
      <c r="I63">
        <f t="shared" si="0"/>
        <v>10</v>
      </c>
      <c r="J63">
        <f t="shared" si="1"/>
        <v>10</v>
      </c>
    </row>
    <row r="64" spans="1:10" x14ac:dyDescent="0.3">
      <c r="A64" s="1">
        <v>62</v>
      </c>
      <c r="B64" t="s">
        <v>12</v>
      </c>
      <c r="C64">
        <v>11.562474727630599</v>
      </c>
      <c r="D64">
        <v>7</v>
      </c>
      <c r="E64">
        <v>377.05154585838301</v>
      </c>
      <c r="F64">
        <v>4</v>
      </c>
      <c r="G64">
        <v>5</v>
      </c>
      <c r="H64" s="21">
        <f t="shared" si="0"/>
        <v>7</v>
      </c>
      <c r="I64" s="21">
        <f t="shared" si="0"/>
        <v>10</v>
      </c>
      <c r="J64">
        <f t="shared" si="1"/>
        <v>8.5</v>
      </c>
    </row>
    <row r="65" spans="1:10" x14ac:dyDescent="0.3">
      <c r="A65" s="1">
        <v>63</v>
      </c>
      <c r="B65" t="s">
        <v>12</v>
      </c>
      <c r="C65">
        <v>11.562474727630599</v>
      </c>
      <c r="D65">
        <v>8</v>
      </c>
      <c r="E65">
        <v>371.115574359893</v>
      </c>
      <c r="F65">
        <v>1</v>
      </c>
      <c r="G65">
        <v>1</v>
      </c>
      <c r="H65">
        <f t="shared" si="0"/>
        <v>0</v>
      </c>
      <c r="I65">
        <f t="shared" si="0"/>
        <v>0</v>
      </c>
      <c r="J65">
        <f t="shared" si="1"/>
        <v>0</v>
      </c>
    </row>
    <row r="66" spans="1:10" x14ac:dyDescent="0.3">
      <c r="A66" s="1">
        <v>64</v>
      </c>
      <c r="B66" t="s">
        <v>22</v>
      </c>
      <c r="C66">
        <v>0</v>
      </c>
      <c r="D66">
        <v>1</v>
      </c>
      <c r="E66">
        <v>1.2184805870056099</v>
      </c>
      <c r="F66">
        <v>1</v>
      </c>
      <c r="G66">
        <v>1</v>
      </c>
      <c r="H66">
        <f t="shared" si="0"/>
        <v>0</v>
      </c>
      <c r="I66">
        <f t="shared" si="0"/>
        <v>0</v>
      </c>
      <c r="J66">
        <f t="shared" si="1"/>
        <v>0</v>
      </c>
    </row>
    <row r="67" spans="1:10" x14ac:dyDescent="0.3">
      <c r="A67" s="1">
        <v>65</v>
      </c>
      <c r="B67" t="s">
        <v>22</v>
      </c>
      <c r="C67">
        <v>0</v>
      </c>
      <c r="D67">
        <v>2</v>
      </c>
      <c r="E67">
        <v>0.34383988380432101</v>
      </c>
      <c r="F67">
        <v>5</v>
      </c>
      <c r="G67">
        <v>5</v>
      </c>
      <c r="H67">
        <f t="shared" ref="H67:I73" si="8">IF(F67&lt;3,0,IF(F67=3,4,IF(F67=4,7,10)))</f>
        <v>10</v>
      </c>
      <c r="I67">
        <f t="shared" si="8"/>
        <v>10</v>
      </c>
      <c r="J67">
        <f t="shared" ref="J67:J73" si="9">AVERAGE(H67:I67)</f>
        <v>10</v>
      </c>
    </row>
    <row r="68" spans="1:10" x14ac:dyDescent="0.3">
      <c r="A68" s="1">
        <v>66</v>
      </c>
      <c r="B68" t="s">
        <v>22</v>
      </c>
      <c r="C68">
        <v>0</v>
      </c>
      <c r="D68">
        <v>3</v>
      </c>
      <c r="E68">
        <v>0.40618991851806602</v>
      </c>
      <c r="F68">
        <v>3</v>
      </c>
      <c r="G68">
        <v>3</v>
      </c>
      <c r="H68">
        <f t="shared" si="8"/>
        <v>4</v>
      </c>
      <c r="I68">
        <f t="shared" si="8"/>
        <v>4</v>
      </c>
      <c r="J68">
        <f t="shared" si="9"/>
        <v>4</v>
      </c>
    </row>
    <row r="69" spans="1:10" x14ac:dyDescent="0.3">
      <c r="A69" s="1">
        <v>67</v>
      </c>
      <c r="B69" t="s">
        <v>22</v>
      </c>
      <c r="C69">
        <v>0</v>
      </c>
      <c r="D69">
        <v>4</v>
      </c>
      <c r="E69">
        <v>0.37500047683715798</v>
      </c>
      <c r="F69">
        <v>4</v>
      </c>
      <c r="G69">
        <v>4</v>
      </c>
      <c r="H69">
        <f t="shared" si="8"/>
        <v>7</v>
      </c>
      <c r="I69">
        <f t="shared" si="8"/>
        <v>7</v>
      </c>
      <c r="J69">
        <f t="shared" si="9"/>
        <v>7</v>
      </c>
    </row>
    <row r="70" spans="1:10" x14ac:dyDescent="0.3">
      <c r="A70" s="1">
        <v>68</v>
      </c>
      <c r="B70" t="s">
        <v>22</v>
      </c>
      <c r="C70">
        <v>0</v>
      </c>
      <c r="D70">
        <v>5</v>
      </c>
      <c r="E70">
        <v>0.42172551155090299</v>
      </c>
      <c r="F70">
        <v>3</v>
      </c>
      <c r="G70">
        <v>3</v>
      </c>
      <c r="H70">
        <f t="shared" si="8"/>
        <v>4</v>
      </c>
      <c r="I70">
        <f t="shared" si="8"/>
        <v>4</v>
      </c>
      <c r="J70">
        <f t="shared" si="9"/>
        <v>4</v>
      </c>
    </row>
    <row r="71" spans="1:10" x14ac:dyDescent="0.3">
      <c r="A71" s="1">
        <v>69</v>
      </c>
      <c r="B71" t="s">
        <v>22</v>
      </c>
      <c r="C71">
        <v>0</v>
      </c>
      <c r="D71">
        <v>6</v>
      </c>
      <c r="E71">
        <v>0.40610909461975098</v>
      </c>
      <c r="F71">
        <v>2</v>
      </c>
      <c r="G71">
        <v>2</v>
      </c>
      <c r="H71">
        <f t="shared" si="8"/>
        <v>0</v>
      </c>
      <c r="I71">
        <f t="shared" si="8"/>
        <v>0</v>
      </c>
      <c r="J71">
        <f t="shared" si="9"/>
        <v>0</v>
      </c>
    </row>
    <row r="72" spans="1:10" x14ac:dyDescent="0.3">
      <c r="A72" s="1">
        <v>70</v>
      </c>
      <c r="B72" t="s">
        <v>22</v>
      </c>
      <c r="C72">
        <v>0</v>
      </c>
      <c r="D72">
        <v>7</v>
      </c>
      <c r="E72">
        <v>0.35908317565917902</v>
      </c>
      <c r="F72">
        <v>4</v>
      </c>
      <c r="G72">
        <v>4</v>
      </c>
      <c r="H72">
        <f t="shared" si="8"/>
        <v>7</v>
      </c>
      <c r="I72">
        <f t="shared" si="8"/>
        <v>7</v>
      </c>
      <c r="J72">
        <f t="shared" si="9"/>
        <v>7</v>
      </c>
    </row>
    <row r="73" spans="1:10" x14ac:dyDescent="0.3">
      <c r="A73" s="1">
        <v>71</v>
      </c>
      <c r="B73" t="s">
        <v>22</v>
      </c>
      <c r="C73">
        <v>0</v>
      </c>
      <c r="D73">
        <v>8</v>
      </c>
      <c r="E73">
        <v>0.40639233589172302</v>
      </c>
      <c r="F73">
        <v>4</v>
      </c>
      <c r="G73">
        <v>4</v>
      </c>
      <c r="H73">
        <f t="shared" si="8"/>
        <v>7</v>
      </c>
      <c r="I73">
        <f t="shared" si="8"/>
        <v>7</v>
      </c>
      <c r="J73">
        <f t="shared" si="9"/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2025-11-19T23:59:04Z</dcterms:modified>
</cp:coreProperties>
</file>