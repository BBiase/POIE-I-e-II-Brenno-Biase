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brenn\Documents\TCC\Testes\TESTES TCC\scr\"/>
    </mc:Choice>
  </mc:AlternateContent>
  <xr:revisionPtr revIDLastSave="0" documentId="13_ncr:1_{2CF12510-5DBD-43AE-B502-A28B68FB4E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D3" i="2"/>
  <c r="B4" i="2"/>
  <c r="C4" i="2"/>
  <c r="D4" i="2"/>
  <c r="B5" i="2"/>
  <c r="C5" i="2"/>
  <c r="D5" i="2"/>
  <c r="B6" i="2"/>
  <c r="C6" i="2"/>
  <c r="D6" i="2"/>
  <c r="B7" i="2"/>
  <c r="C7" i="2"/>
  <c r="D7" i="2"/>
  <c r="B8" i="2"/>
  <c r="C8" i="2"/>
  <c r="D8" i="2"/>
  <c r="B9" i="2"/>
  <c r="C9" i="2"/>
  <c r="D9" i="2"/>
  <c r="B10" i="2"/>
  <c r="C10" i="2"/>
  <c r="D10" i="2"/>
  <c r="C2" i="2"/>
  <c r="D2" i="2"/>
  <c r="B2" i="2"/>
  <c r="G3" i="2"/>
  <c r="G4" i="2"/>
  <c r="G5" i="2"/>
  <c r="G6" i="2"/>
  <c r="G7" i="2"/>
  <c r="G8" i="2"/>
  <c r="G9" i="2"/>
  <c r="G10" i="2"/>
  <c r="G2" i="2"/>
  <c r="G26" i="1"/>
  <c r="H26" i="1"/>
  <c r="I26" i="1"/>
  <c r="J26" i="1"/>
  <c r="G27" i="1"/>
  <c r="H27" i="1"/>
  <c r="I27" i="1"/>
  <c r="J27" i="1"/>
  <c r="G28" i="1"/>
  <c r="H28" i="1"/>
  <c r="I28" i="1"/>
  <c r="J28" i="1"/>
  <c r="G29" i="1"/>
  <c r="H29" i="1"/>
  <c r="I29" i="1"/>
  <c r="J29" i="1"/>
  <c r="G30" i="1"/>
  <c r="H30" i="1"/>
  <c r="I30" i="1"/>
  <c r="J30" i="1"/>
  <c r="G31" i="1"/>
  <c r="H31" i="1"/>
  <c r="I31" i="1"/>
  <c r="J31" i="1"/>
  <c r="G32" i="1"/>
  <c r="H32" i="1"/>
  <c r="I32" i="1"/>
  <c r="J32" i="1"/>
  <c r="G25" i="1"/>
  <c r="H25" i="1"/>
  <c r="I25" i="1"/>
  <c r="J25" i="1"/>
  <c r="G15" i="1"/>
  <c r="H15" i="1"/>
  <c r="I15" i="1"/>
  <c r="J15" i="1"/>
  <c r="G16" i="1"/>
  <c r="H16" i="1"/>
  <c r="I16" i="1"/>
  <c r="J16" i="1"/>
  <c r="G17" i="1"/>
  <c r="H17" i="1"/>
  <c r="I17" i="1"/>
  <c r="J17" i="1"/>
  <c r="G18" i="1"/>
  <c r="H18" i="1"/>
  <c r="I18" i="1"/>
  <c r="J18" i="1"/>
  <c r="G19" i="1"/>
  <c r="H19" i="1"/>
  <c r="I19" i="1"/>
  <c r="J19" i="1"/>
  <c r="G20" i="1"/>
  <c r="H20" i="1"/>
  <c r="I20" i="1"/>
  <c r="J20" i="1"/>
  <c r="G21" i="1"/>
  <c r="H21" i="1"/>
  <c r="I21" i="1"/>
  <c r="J21" i="1"/>
  <c r="G14" i="1"/>
  <c r="H14" i="1"/>
  <c r="I14" i="1"/>
  <c r="J14" i="1"/>
  <c r="G10" i="1"/>
  <c r="H10" i="1"/>
  <c r="I10" i="1"/>
  <c r="J10" i="1"/>
  <c r="K10" i="1"/>
  <c r="L10" i="1"/>
  <c r="M10" i="1"/>
  <c r="G3" i="1"/>
  <c r="H3" i="1"/>
  <c r="I3" i="1"/>
  <c r="J3" i="1"/>
  <c r="K3" i="1"/>
  <c r="L3" i="1"/>
  <c r="M3" i="1"/>
  <c r="G4" i="1"/>
  <c r="H4" i="1"/>
  <c r="I4" i="1"/>
  <c r="J4" i="1"/>
  <c r="K4" i="1"/>
  <c r="L4" i="1"/>
  <c r="M4" i="1"/>
  <c r="G5" i="1"/>
  <c r="H5" i="1"/>
  <c r="I5" i="1"/>
  <c r="J5" i="1"/>
  <c r="K5" i="1"/>
  <c r="L5" i="1"/>
  <c r="M5" i="1"/>
  <c r="G6" i="1"/>
  <c r="H6" i="1"/>
  <c r="I6" i="1"/>
  <c r="J6" i="1"/>
  <c r="K6" i="1"/>
  <c r="L6" i="1"/>
  <c r="M6" i="1"/>
  <c r="G7" i="1"/>
  <c r="H7" i="1"/>
  <c r="I7" i="1"/>
  <c r="J7" i="1"/>
  <c r="K7" i="1"/>
  <c r="L7" i="1"/>
  <c r="M7" i="1"/>
  <c r="G8" i="1"/>
  <c r="H8" i="1"/>
  <c r="I8" i="1"/>
  <c r="J8" i="1"/>
  <c r="K8" i="1"/>
  <c r="L8" i="1"/>
  <c r="M8" i="1"/>
  <c r="G9" i="1"/>
  <c r="H9" i="1"/>
  <c r="I9" i="1"/>
  <c r="J9" i="1"/>
  <c r="K9" i="1"/>
  <c r="L9" i="1"/>
  <c r="M9" i="1"/>
  <c r="M2" i="1"/>
  <c r="L2" i="1"/>
  <c r="K2" i="1"/>
  <c r="J2" i="1"/>
  <c r="I2" i="1"/>
  <c r="H2" i="1"/>
  <c r="G2" i="1"/>
</calcChain>
</file>

<file path=xl/sharedStrings.xml><?xml version="1.0" encoding="utf-8"?>
<sst xmlns="http://schemas.openxmlformats.org/spreadsheetml/2006/main" count="118" uniqueCount="37">
  <si>
    <t>MD</t>
  </si>
  <si>
    <t>PE</t>
  </si>
  <si>
    <t>CL</t>
  </si>
  <si>
    <t>DeepSeek-r1:7b</t>
  </si>
  <si>
    <t>DeepSeek-r1:8b</t>
  </si>
  <si>
    <t>Llama3</t>
  </si>
  <si>
    <t>gemma3:4b</t>
  </si>
  <si>
    <t>mistral:7b</t>
  </si>
  <si>
    <t>phi4:14b</t>
  </si>
  <si>
    <t>DeepSeek-r1:14b</t>
  </si>
  <si>
    <t>gemma3:12b</t>
  </si>
  <si>
    <t>MODELO</t>
  </si>
  <si>
    <t>TCM</t>
  </si>
  <si>
    <t>TRM</t>
  </si>
  <si>
    <t>NM</t>
  </si>
  <si>
    <t>Tempo de carregamento médio</t>
  </si>
  <si>
    <t>Tempo de resposta médio</t>
  </si>
  <si>
    <t>Percentual de respostas do modelo que receberam classificação 0</t>
  </si>
  <si>
    <t>faiss</t>
  </si>
  <si>
    <t>PERGUNTAS</t>
  </si>
  <si>
    <t>FAISS</t>
  </si>
  <si>
    <t>1</t>
  </si>
  <si>
    <t>5</t>
  </si>
  <si>
    <t>3</t>
  </si>
  <si>
    <t>0</t>
  </si>
  <si>
    <t>2</t>
  </si>
  <si>
    <t>4</t>
  </si>
  <si>
    <t>Nota média (considerando 10 para CL 5, 7 para CL 4, 4 para CL 3 e 0 para as demais</t>
  </si>
  <si>
    <t>llama3</t>
  </si>
  <si>
    <t>deepseek-r1:14b</t>
  </si>
  <si>
    <t>deepseek-r1:7b</t>
  </si>
  <si>
    <t>deepseek-r1:8b</t>
  </si>
  <si>
    <t>C/FAISS</t>
  </si>
  <si>
    <t>S/FAISS</t>
  </si>
  <si>
    <t>GEMINI</t>
  </si>
  <si>
    <t>BRENNO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</si>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</sst>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  <xf numFmtId="0" fontId="4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1" xfId="0" applyBorder="1"/>
    <xf numFmtId="43" fontId="0" fillId="0" borderId="1" xfId="1" applyFont="1" applyBorder="1"/>
    <xf numFmtId="43" fontId="0" fillId="0" borderId="1" xfId="1" applyFont="1" applyFill="1" applyBorder="1"/>
    <xf numFmtId="164" fontId="0" fillId="0" borderId="1" xfId="0" applyNumberFormat="1" applyBorder="1"/>
    <xf numFmtId="0" fontId="5" fillId="0" borderId="0" xfId="0" applyFont="1"/>
    <xf numFmtId="43" fontId="3" fillId="0" borderId="1" xfId="1" quotePrefix="1" applyFont="1" applyBorder="1"/>
    <xf numFmtId="10" fontId="0" fillId="0" borderId="1" xfId="2" applyNumberFormat="1" applyFont="1" applyBorder="1"/>
    <xf numFmtId="0" fontId="1" fillId="0" borderId="0" xfId="0" applyFont="1" applyAlignment="1">
      <alignment horizontal="center" vertical="top"/>
    </xf>
    <xf numFmtId="43" fontId="3" fillId="0" borderId="0" xfId="1" quotePrefix="1" applyFont="1" applyBorder="1"/>
    <xf numFmtId="10" fontId="0" fillId="0" borderId="0" xfId="2" applyNumberFormat="1" applyFont="1" applyBorder="1"/>
    <xf numFmtId="0" fontId="3" fillId="0" borderId="1" xfId="0" applyFont="1" applyBorder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3"/>
  <sheetViews>
    <sheetView tabSelected="1" zoomScale="70" zoomScaleNormal="70" workbookViewId="0">
      <selection activeCell="O12" sqref="O12"/>
    </sheetView>
  </sheetViews>
  <sheetFormatPr defaultRowHeight="14.4" x14ac:dyDescent="0.3"/>
  <cols>
    <col min="2" max="2" width="15" bestFit="1" customWidth="1"/>
    <col min="6" max="6" width="15" bestFit="1" customWidth="1"/>
  </cols>
  <sheetData>
    <row r="1" spans="1:16" x14ac:dyDescent="0.3">
      <c r="B1" s="3" t="s">
        <v>0</v>
      </c>
      <c r="C1" s="1" t="s">
        <v>1</v>
      </c>
      <c r="D1" s="3" t="s">
        <v>2</v>
      </c>
      <c r="F1" s="1" t="s">
        <v>11</v>
      </c>
      <c r="G1" s="10" t="s">
        <v>24</v>
      </c>
      <c r="H1" s="10" t="s">
        <v>21</v>
      </c>
      <c r="I1" s="10" t="s">
        <v>25</v>
      </c>
      <c r="J1" s="10" t="s">
        <v>23</v>
      </c>
      <c r="K1" s="10" t="s">
        <v>26</v>
      </c>
      <c r="L1" s="10" t="s">
        <v>22</v>
      </c>
      <c r="M1" s="4" t="s">
        <v>14</v>
      </c>
    </row>
    <row r="2" spans="1:16" x14ac:dyDescent="0.3">
      <c r="A2" s="1">
        <v>0</v>
      </c>
      <c r="B2" t="s">
        <v>10</v>
      </c>
      <c r="C2">
        <v>1</v>
      </c>
      <c r="D2">
        <v>5</v>
      </c>
      <c r="F2" s="5" t="s">
        <v>3</v>
      </c>
      <c r="G2" s="11">
        <f t="shared" ref="G2:G10" si="0">COUNTIFS(B:B,F2,D:D,0)/COUNTIFS(B:B,F2)</f>
        <v>0</v>
      </c>
      <c r="H2" s="11">
        <f t="shared" ref="H2:H10" si="1">COUNTIFS(B:B,F2,D:D,1)/COUNTIFS(B:B,F2)</f>
        <v>0.25</v>
      </c>
      <c r="I2" s="11">
        <f t="shared" ref="I2:I10" si="2">COUNTIFS(B:B,F2,D:D,2)/COUNTIFS(B:B,F2)</f>
        <v>0</v>
      </c>
      <c r="J2" s="11">
        <f t="shared" ref="J2:J10" si="3">COUNTIFS(B:B,F2,D:D,3)/COUNTIFS(B:B,F2)</f>
        <v>0.25</v>
      </c>
      <c r="K2" s="11">
        <f t="shared" ref="K2:K10" si="4">COUNTIFS(B:B,F2,D:D,4)/COUNTIFS(B:B,F2)</f>
        <v>0.25</v>
      </c>
      <c r="L2" s="11">
        <f t="shared" ref="L2:L10" si="5">COUNTIFS(B:B,F2,D:D,5)/COUNTIFS(B:B,F2)</f>
        <v>0.25</v>
      </c>
      <c r="M2" s="6">
        <f t="shared" ref="M2:M10" si="6">(COUNTIFS(B:B,F2,D:D,3)*4+COUNTIFS(B:B,F2,D:D,4)*7+COUNTIFS(B:B,F2,D:D,5)*10)/(COUNTIFS(B:B,F2))</f>
        <v>5.25</v>
      </c>
      <c r="O2" t="s">
        <v>12</v>
      </c>
      <c r="P2" t="s">
        <v>15</v>
      </c>
    </row>
    <row r="3" spans="1:16" x14ac:dyDescent="0.3">
      <c r="A3" s="1">
        <v>1</v>
      </c>
      <c r="B3" t="s">
        <v>10</v>
      </c>
      <c r="C3">
        <v>2</v>
      </c>
      <c r="D3">
        <v>5</v>
      </c>
      <c r="F3" s="5" t="s">
        <v>4</v>
      </c>
      <c r="G3" s="11">
        <f t="shared" si="0"/>
        <v>0.125</v>
      </c>
      <c r="H3" s="11">
        <f t="shared" si="1"/>
        <v>0.375</v>
      </c>
      <c r="I3" s="11">
        <f t="shared" si="2"/>
        <v>0</v>
      </c>
      <c r="J3" s="11">
        <f t="shared" si="3"/>
        <v>0.25</v>
      </c>
      <c r="K3" s="11">
        <f t="shared" si="4"/>
        <v>0</v>
      </c>
      <c r="L3" s="11">
        <f t="shared" si="5"/>
        <v>0.25</v>
      </c>
      <c r="M3" s="6">
        <f t="shared" si="6"/>
        <v>3.5</v>
      </c>
      <c r="O3" t="s">
        <v>13</v>
      </c>
      <c r="P3" t="s">
        <v>16</v>
      </c>
    </row>
    <row r="4" spans="1:16" x14ac:dyDescent="0.3">
      <c r="A4" s="1">
        <v>2</v>
      </c>
      <c r="B4" t="s">
        <v>10</v>
      </c>
      <c r="C4">
        <v>3</v>
      </c>
      <c r="D4">
        <v>3</v>
      </c>
      <c r="F4" s="5" t="s">
        <v>5</v>
      </c>
      <c r="G4" s="11">
        <f t="shared" si="0"/>
        <v>0</v>
      </c>
      <c r="H4" s="11">
        <f t="shared" si="1"/>
        <v>0.125</v>
      </c>
      <c r="I4" s="11">
        <f t="shared" si="2"/>
        <v>0</v>
      </c>
      <c r="J4" s="11">
        <f t="shared" si="3"/>
        <v>0.125</v>
      </c>
      <c r="K4" s="11">
        <f t="shared" si="4"/>
        <v>0.25</v>
      </c>
      <c r="L4" s="11">
        <f t="shared" si="5"/>
        <v>0.5</v>
      </c>
      <c r="M4" s="6">
        <f t="shared" si="6"/>
        <v>7.25</v>
      </c>
      <c r="O4" s="2">
        <v>0</v>
      </c>
      <c r="P4" t="s">
        <v>17</v>
      </c>
    </row>
    <row r="5" spans="1:16" x14ac:dyDescent="0.3">
      <c r="A5" s="1">
        <v>3</v>
      </c>
      <c r="B5" t="s">
        <v>10</v>
      </c>
      <c r="C5">
        <v>4</v>
      </c>
      <c r="D5">
        <v>5</v>
      </c>
      <c r="F5" s="5" t="s">
        <v>6</v>
      </c>
      <c r="G5" s="11">
        <f t="shared" si="0"/>
        <v>0</v>
      </c>
      <c r="H5" s="11">
        <f t="shared" si="1"/>
        <v>0</v>
      </c>
      <c r="I5" s="11">
        <f t="shared" si="2"/>
        <v>0</v>
      </c>
      <c r="J5" s="11">
        <f t="shared" si="3"/>
        <v>0.25</v>
      </c>
      <c r="K5" s="11">
        <f t="shared" si="4"/>
        <v>0</v>
      </c>
      <c r="L5" s="11">
        <f t="shared" si="5"/>
        <v>0.75</v>
      </c>
      <c r="M5" s="6">
        <f t="shared" si="6"/>
        <v>8.5</v>
      </c>
      <c r="O5" t="s">
        <v>14</v>
      </c>
      <c r="P5" t="s">
        <v>27</v>
      </c>
    </row>
    <row r="6" spans="1:16" x14ac:dyDescent="0.3">
      <c r="A6" s="1">
        <v>4</v>
      </c>
      <c r="B6" t="s">
        <v>10</v>
      </c>
      <c r="C6">
        <v>5</v>
      </c>
      <c r="D6">
        <v>5</v>
      </c>
      <c r="F6" s="5" t="s">
        <v>7</v>
      </c>
      <c r="G6" s="11">
        <f t="shared" si="0"/>
        <v>0</v>
      </c>
      <c r="H6" s="11">
        <f t="shared" si="1"/>
        <v>0</v>
      </c>
      <c r="I6" s="11">
        <f t="shared" si="2"/>
        <v>0.25</v>
      </c>
      <c r="J6" s="11">
        <f t="shared" si="3"/>
        <v>0.375</v>
      </c>
      <c r="K6" s="11">
        <f t="shared" si="4"/>
        <v>0</v>
      </c>
      <c r="L6" s="11">
        <f t="shared" si="5"/>
        <v>0.375</v>
      </c>
      <c r="M6" s="6">
        <f t="shared" si="6"/>
        <v>5.25</v>
      </c>
    </row>
    <row r="7" spans="1:16" x14ac:dyDescent="0.3">
      <c r="A7" s="1">
        <v>5</v>
      </c>
      <c r="B7" t="s">
        <v>10</v>
      </c>
      <c r="C7">
        <v>6</v>
      </c>
      <c r="D7">
        <v>1</v>
      </c>
      <c r="F7" s="5" t="s">
        <v>8</v>
      </c>
      <c r="G7" s="11">
        <f t="shared" si="0"/>
        <v>0</v>
      </c>
      <c r="H7" s="11">
        <f t="shared" si="1"/>
        <v>0.125</v>
      </c>
      <c r="I7" s="11">
        <f t="shared" si="2"/>
        <v>0.125</v>
      </c>
      <c r="J7" s="11">
        <f t="shared" si="3"/>
        <v>0.125</v>
      </c>
      <c r="K7" s="11">
        <f t="shared" si="4"/>
        <v>0</v>
      </c>
      <c r="L7" s="11">
        <f t="shared" si="5"/>
        <v>0.625</v>
      </c>
      <c r="M7" s="6">
        <f t="shared" si="6"/>
        <v>6.75</v>
      </c>
    </row>
    <row r="8" spans="1:16" x14ac:dyDescent="0.3">
      <c r="A8" s="1">
        <v>6</v>
      </c>
      <c r="B8" t="s">
        <v>10</v>
      </c>
      <c r="C8">
        <v>7</v>
      </c>
      <c r="D8">
        <v>5</v>
      </c>
      <c r="F8" s="5" t="s">
        <v>9</v>
      </c>
      <c r="G8" s="11">
        <f t="shared" si="0"/>
        <v>0</v>
      </c>
      <c r="H8" s="11">
        <f t="shared" si="1"/>
        <v>0.125</v>
      </c>
      <c r="I8" s="11">
        <f t="shared" si="2"/>
        <v>0</v>
      </c>
      <c r="J8" s="11">
        <f t="shared" si="3"/>
        <v>0.25</v>
      </c>
      <c r="K8" s="11">
        <f t="shared" si="4"/>
        <v>0</v>
      </c>
      <c r="L8" s="11">
        <f t="shared" si="5"/>
        <v>0.625</v>
      </c>
      <c r="M8" s="6">
        <f t="shared" si="6"/>
        <v>7.25</v>
      </c>
    </row>
    <row r="9" spans="1:16" x14ac:dyDescent="0.3">
      <c r="A9" s="1">
        <v>7</v>
      </c>
      <c r="B9" t="s">
        <v>10</v>
      </c>
      <c r="C9">
        <v>8</v>
      </c>
      <c r="D9">
        <v>1</v>
      </c>
      <c r="F9" s="5" t="s">
        <v>10</v>
      </c>
      <c r="G9" s="11">
        <f t="shared" si="0"/>
        <v>0</v>
      </c>
      <c r="H9" s="11">
        <f t="shared" si="1"/>
        <v>0.25</v>
      </c>
      <c r="I9" s="11">
        <f t="shared" si="2"/>
        <v>0</v>
      </c>
      <c r="J9" s="11">
        <f t="shared" si="3"/>
        <v>0.125</v>
      </c>
      <c r="K9" s="11">
        <f t="shared" si="4"/>
        <v>0</v>
      </c>
      <c r="L9" s="11">
        <f t="shared" si="5"/>
        <v>0.625</v>
      </c>
      <c r="M9" s="6">
        <f t="shared" si="6"/>
        <v>6.75</v>
      </c>
    </row>
    <row r="10" spans="1:16" x14ac:dyDescent="0.3">
      <c r="A10" s="1">
        <v>8</v>
      </c>
      <c r="B10" t="s">
        <v>8</v>
      </c>
      <c r="C10">
        <v>1</v>
      </c>
      <c r="D10">
        <v>2</v>
      </c>
      <c r="F10" s="5" t="s">
        <v>18</v>
      </c>
      <c r="G10" s="11">
        <f t="shared" si="0"/>
        <v>0</v>
      </c>
      <c r="H10" s="11">
        <f t="shared" si="1"/>
        <v>0.125</v>
      </c>
      <c r="I10" s="11">
        <f t="shared" si="2"/>
        <v>0.125</v>
      </c>
      <c r="J10" s="11">
        <f t="shared" si="3"/>
        <v>0.25</v>
      </c>
      <c r="K10" s="11">
        <f t="shared" si="4"/>
        <v>0.375</v>
      </c>
      <c r="L10" s="11">
        <f t="shared" si="5"/>
        <v>0.125</v>
      </c>
      <c r="M10" s="7">
        <f t="shared" si="6"/>
        <v>4.875</v>
      </c>
    </row>
    <row r="11" spans="1:16" x14ac:dyDescent="0.3">
      <c r="A11" s="1">
        <v>9</v>
      </c>
      <c r="B11" t="s">
        <v>8</v>
      </c>
      <c r="C11">
        <v>2</v>
      </c>
      <c r="D11">
        <v>5</v>
      </c>
      <c r="E11" s="9"/>
    </row>
    <row r="12" spans="1:16" x14ac:dyDescent="0.3">
      <c r="A12" s="1">
        <v>10</v>
      </c>
      <c r="B12" t="s">
        <v>8</v>
      </c>
      <c r="C12">
        <v>3</v>
      </c>
      <c r="D12">
        <v>3</v>
      </c>
      <c r="G12" s="15" t="s">
        <v>32</v>
      </c>
      <c r="H12" s="15"/>
      <c r="I12" s="15"/>
      <c r="J12" s="15"/>
    </row>
    <row r="13" spans="1:16" x14ac:dyDescent="0.3">
      <c r="A13" s="1">
        <v>11</v>
      </c>
      <c r="B13" t="s">
        <v>8</v>
      </c>
      <c r="C13">
        <v>4</v>
      </c>
      <c r="D13">
        <v>5</v>
      </c>
      <c r="F13" s="4" t="s">
        <v>19</v>
      </c>
      <c r="G13" s="5">
        <v>2</v>
      </c>
      <c r="H13" s="5">
        <v>3</v>
      </c>
      <c r="I13" s="5">
        <v>4</v>
      </c>
      <c r="J13" s="5">
        <v>5</v>
      </c>
    </row>
    <row r="14" spans="1:16" x14ac:dyDescent="0.3">
      <c r="A14" s="1">
        <v>12</v>
      </c>
      <c r="B14" t="s">
        <v>8</v>
      </c>
      <c r="C14">
        <v>5</v>
      </c>
      <c r="D14">
        <v>5</v>
      </c>
      <c r="F14" s="5">
        <v>1</v>
      </c>
      <c r="G14" s="8">
        <f t="shared" ref="G14:J21" si="7">COUNTIFS($C:$C,$F14,$D:$D,G$13)/(COUNTIFS($C:$C,$F14))</f>
        <v>0.1111111111111111</v>
      </c>
      <c r="H14" s="8">
        <f t="shared" si="7"/>
        <v>0.22222222222222221</v>
      </c>
      <c r="I14" s="8">
        <f t="shared" si="7"/>
        <v>0.1111111111111111</v>
      </c>
      <c r="J14" s="8">
        <f t="shared" si="7"/>
        <v>0.22222222222222221</v>
      </c>
    </row>
    <row r="15" spans="1:16" x14ac:dyDescent="0.3">
      <c r="A15" s="1">
        <v>13</v>
      </c>
      <c r="B15" t="s">
        <v>8</v>
      </c>
      <c r="C15">
        <v>6</v>
      </c>
      <c r="D15">
        <v>1</v>
      </c>
      <c r="F15" s="5">
        <v>2</v>
      </c>
      <c r="G15" s="8">
        <f t="shared" si="7"/>
        <v>0</v>
      </c>
      <c r="H15" s="8">
        <f t="shared" si="7"/>
        <v>0</v>
      </c>
      <c r="I15" s="8">
        <f t="shared" si="7"/>
        <v>0.1111111111111111</v>
      </c>
      <c r="J15" s="8">
        <f t="shared" si="7"/>
        <v>0.88888888888888884</v>
      </c>
    </row>
    <row r="16" spans="1:16" x14ac:dyDescent="0.3">
      <c r="A16" s="1">
        <v>14</v>
      </c>
      <c r="B16" t="s">
        <v>8</v>
      </c>
      <c r="C16">
        <v>7</v>
      </c>
      <c r="D16">
        <v>5</v>
      </c>
      <c r="F16" s="5">
        <v>3</v>
      </c>
      <c r="G16" s="8">
        <f t="shared" si="7"/>
        <v>0</v>
      </c>
      <c r="H16" s="8">
        <f t="shared" si="7"/>
        <v>1</v>
      </c>
      <c r="I16" s="8">
        <f t="shared" si="7"/>
        <v>0</v>
      </c>
      <c r="J16" s="8">
        <f t="shared" si="7"/>
        <v>0</v>
      </c>
    </row>
    <row r="17" spans="1:22" x14ac:dyDescent="0.3">
      <c r="A17" s="1">
        <v>15</v>
      </c>
      <c r="B17" t="s">
        <v>8</v>
      </c>
      <c r="C17">
        <v>8</v>
      </c>
      <c r="D17">
        <v>5</v>
      </c>
      <c r="F17" s="5">
        <v>4</v>
      </c>
      <c r="G17" s="8">
        <f t="shared" si="7"/>
        <v>0.1111111111111111</v>
      </c>
      <c r="H17" s="8">
        <f t="shared" si="7"/>
        <v>0.22222222222222221</v>
      </c>
      <c r="I17" s="8">
        <f t="shared" si="7"/>
        <v>0.1111111111111111</v>
      </c>
      <c r="J17" s="8">
        <f t="shared" si="7"/>
        <v>0.55555555555555558</v>
      </c>
    </row>
    <row r="18" spans="1:22" x14ac:dyDescent="0.3">
      <c r="A18" s="1">
        <v>16</v>
      </c>
      <c r="B18" t="s">
        <v>7</v>
      </c>
      <c r="C18">
        <v>1</v>
      </c>
      <c r="D18">
        <v>3</v>
      </c>
      <c r="F18" s="5">
        <v>5</v>
      </c>
      <c r="G18" s="8">
        <f t="shared" si="7"/>
        <v>0</v>
      </c>
      <c r="H18" s="8">
        <f t="shared" si="7"/>
        <v>0.1111111111111111</v>
      </c>
      <c r="I18" s="8">
        <f t="shared" si="7"/>
        <v>0.22222222222222221</v>
      </c>
      <c r="J18" s="8">
        <f t="shared" si="7"/>
        <v>0.55555555555555558</v>
      </c>
      <c r="P18" s="12"/>
      <c r="Q18" s="13"/>
      <c r="R18" s="13"/>
      <c r="S18" s="13"/>
      <c r="T18" s="13"/>
      <c r="U18" s="13"/>
      <c r="V18" s="13"/>
    </row>
    <row r="19" spans="1:22" x14ac:dyDescent="0.3">
      <c r="A19" s="1">
        <v>17</v>
      </c>
      <c r="B19" t="s">
        <v>7</v>
      </c>
      <c r="C19">
        <v>2</v>
      </c>
      <c r="D19">
        <v>5</v>
      </c>
      <c r="F19" s="5">
        <v>6</v>
      </c>
      <c r="G19" s="8">
        <f t="shared" si="7"/>
        <v>0.22222222222222221</v>
      </c>
      <c r="H19" s="8">
        <f t="shared" si="7"/>
        <v>0.1111111111111111</v>
      </c>
      <c r="I19" s="8">
        <f t="shared" si="7"/>
        <v>0</v>
      </c>
      <c r="J19" s="8">
        <f t="shared" si="7"/>
        <v>0</v>
      </c>
      <c r="Q19" s="14"/>
      <c r="R19" s="14"/>
      <c r="S19" s="14"/>
      <c r="T19" s="14"/>
      <c r="U19" s="14"/>
      <c r="V19" s="14"/>
    </row>
    <row r="20" spans="1:22" x14ac:dyDescent="0.3">
      <c r="A20" s="1">
        <v>18</v>
      </c>
      <c r="B20" t="s">
        <v>7</v>
      </c>
      <c r="C20">
        <v>3</v>
      </c>
      <c r="D20">
        <v>3</v>
      </c>
      <c r="F20" s="5">
        <v>7</v>
      </c>
      <c r="G20" s="8">
        <f t="shared" si="7"/>
        <v>0</v>
      </c>
      <c r="H20" s="8">
        <f t="shared" si="7"/>
        <v>0.1111111111111111</v>
      </c>
      <c r="I20" s="8">
        <f t="shared" si="7"/>
        <v>0.1111111111111111</v>
      </c>
      <c r="J20" s="8">
        <f t="shared" si="7"/>
        <v>0.66666666666666663</v>
      </c>
      <c r="Q20" s="14"/>
      <c r="R20" s="14"/>
      <c r="S20" s="14"/>
      <c r="T20" s="14"/>
      <c r="U20" s="14"/>
      <c r="V20" s="14"/>
    </row>
    <row r="21" spans="1:22" x14ac:dyDescent="0.3">
      <c r="A21" s="1">
        <v>19</v>
      </c>
      <c r="B21" t="s">
        <v>7</v>
      </c>
      <c r="C21">
        <v>4</v>
      </c>
      <c r="D21">
        <v>2</v>
      </c>
      <c r="F21" s="5">
        <v>8</v>
      </c>
      <c r="G21" s="8">
        <f t="shared" si="7"/>
        <v>0</v>
      </c>
      <c r="H21" s="8">
        <f t="shared" si="7"/>
        <v>0</v>
      </c>
      <c r="I21" s="8">
        <f t="shared" si="7"/>
        <v>0.1111111111111111</v>
      </c>
      <c r="J21" s="8">
        <f t="shared" si="7"/>
        <v>0.77777777777777779</v>
      </c>
      <c r="Q21" s="14"/>
      <c r="R21" s="14"/>
      <c r="S21" s="14"/>
      <c r="T21" s="14"/>
      <c r="U21" s="14"/>
      <c r="V21" s="14"/>
    </row>
    <row r="22" spans="1:22" x14ac:dyDescent="0.3">
      <c r="A22" s="1">
        <v>20</v>
      </c>
      <c r="B22" t="s">
        <v>7</v>
      </c>
      <c r="C22">
        <v>5</v>
      </c>
      <c r="D22">
        <v>5</v>
      </c>
      <c r="Q22" s="14"/>
      <c r="R22" s="14"/>
      <c r="S22" s="14"/>
      <c r="T22" s="14"/>
      <c r="U22" s="14"/>
      <c r="V22" s="14"/>
    </row>
    <row r="23" spans="1:22" x14ac:dyDescent="0.3">
      <c r="A23" s="1">
        <v>21</v>
      </c>
      <c r="B23" t="s">
        <v>7</v>
      </c>
      <c r="C23">
        <v>6</v>
      </c>
      <c r="D23">
        <v>2</v>
      </c>
      <c r="G23" s="15" t="s">
        <v>33</v>
      </c>
      <c r="H23" s="15"/>
      <c r="I23" s="15"/>
      <c r="J23" s="15"/>
      <c r="L23" s="9"/>
      <c r="Q23" s="14"/>
      <c r="R23" s="14"/>
      <c r="S23" s="14"/>
      <c r="T23" s="14"/>
      <c r="U23" s="14"/>
      <c r="V23" s="14"/>
    </row>
    <row r="24" spans="1:22" x14ac:dyDescent="0.3">
      <c r="A24" s="1">
        <v>22</v>
      </c>
      <c r="B24" t="s">
        <v>7</v>
      </c>
      <c r="C24">
        <v>7</v>
      </c>
      <c r="D24">
        <v>3</v>
      </c>
      <c r="F24" s="4" t="s">
        <v>19</v>
      </c>
      <c r="G24" s="5">
        <v>2</v>
      </c>
      <c r="H24" s="5">
        <v>3</v>
      </c>
      <c r="I24" s="5">
        <v>4</v>
      </c>
      <c r="J24" s="5">
        <v>5</v>
      </c>
      <c r="Q24" s="14"/>
      <c r="R24" s="14"/>
      <c r="S24" s="14"/>
      <c r="T24" s="14"/>
      <c r="U24" s="14"/>
      <c r="V24" s="14"/>
    </row>
    <row r="25" spans="1:22" x14ac:dyDescent="0.3">
      <c r="A25" s="1">
        <v>23</v>
      </c>
      <c r="B25" t="s">
        <v>7</v>
      </c>
      <c r="C25">
        <v>8</v>
      </c>
      <c r="D25">
        <v>5</v>
      </c>
      <c r="F25" s="5">
        <v>1</v>
      </c>
      <c r="G25" s="8">
        <f t="shared" ref="G25:J32" si="8">(COUNTIFS($C:$C,$F25,$D:$D,G$13)-COUNTIFS($C:$C,$F25,$D:$D,G$13,$B:$B,"FAISS"))/(COUNTIFS($C:$C,$F25)-1)</f>
        <v>0.125</v>
      </c>
      <c r="H25" s="8">
        <f t="shared" si="8"/>
        <v>0.25</v>
      </c>
      <c r="I25" s="8">
        <f t="shared" si="8"/>
        <v>0.125</v>
      </c>
      <c r="J25" s="8">
        <f t="shared" si="8"/>
        <v>0.25</v>
      </c>
      <c r="Q25" s="14"/>
      <c r="R25" s="14"/>
      <c r="S25" s="14"/>
      <c r="T25" s="14"/>
      <c r="U25" s="14"/>
      <c r="V25" s="14"/>
    </row>
    <row r="26" spans="1:22" x14ac:dyDescent="0.3">
      <c r="A26" s="1">
        <v>24</v>
      </c>
      <c r="B26" t="s">
        <v>28</v>
      </c>
      <c r="C26">
        <v>1</v>
      </c>
      <c r="D26">
        <v>4</v>
      </c>
      <c r="F26" s="5">
        <v>2</v>
      </c>
      <c r="G26" s="8">
        <f t="shared" si="8"/>
        <v>0</v>
      </c>
      <c r="H26" s="8">
        <f t="shared" si="8"/>
        <v>0</v>
      </c>
      <c r="I26" s="8">
        <f t="shared" si="8"/>
        <v>0.125</v>
      </c>
      <c r="J26" s="8">
        <f t="shared" si="8"/>
        <v>0.875</v>
      </c>
      <c r="Q26" s="14"/>
      <c r="R26" s="14"/>
      <c r="S26" s="14"/>
      <c r="T26" s="14"/>
      <c r="U26" s="14"/>
      <c r="V26" s="14"/>
    </row>
    <row r="27" spans="1:22" x14ac:dyDescent="0.3">
      <c r="A27" s="1">
        <v>25</v>
      </c>
      <c r="B27" t="s">
        <v>28</v>
      </c>
      <c r="C27">
        <v>2</v>
      </c>
      <c r="D27">
        <v>5</v>
      </c>
      <c r="F27" s="5">
        <v>3</v>
      </c>
      <c r="G27" s="8">
        <f t="shared" si="8"/>
        <v>0</v>
      </c>
      <c r="H27" s="8">
        <f t="shared" si="8"/>
        <v>1</v>
      </c>
      <c r="I27" s="8">
        <f t="shared" si="8"/>
        <v>0</v>
      </c>
      <c r="J27" s="8">
        <f t="shared" si="8"/>
        <v>0</v>
      </c>
      <c r="Q27" s="14"/>
      <c r="R27" s="14"/>
      <c r="S27" s="14"/>
      <c r="T27" s="14"/>
      <c r="U27" s="14"/>
      <c r="V27" s="14"/>
    </row>
    <row r="28" spans="1:22" x14ac:dyDescent="0.3">
      <c r="A28" s="1">
        <v>26</v>
      </c>
      <c r="B28" t="s">
        <v>28</v>
      </c>
      <c r="C28">
        <v>3</v>
      </c>
      <c r="D28">
        <v>3</v>
      </c>
      <c r="F28" s="5">
        <v>4</v>
      </c>
      <c r="G28" s="8">
        <f t="shared" si="8"/>
        <v>0.125</v>
      </c>
      <c r="H28" s="8">
        <f t="shared" si="8"/>
        <v>0.25</v>
      </c>
      <c r="I28" s="8">
        <f t="shared" si="8"/>
        <v>0</v>
      </c>
      <c r="J28" s="8">
        <f t="shared" si="8"/>
        <v>0.625</v>
      </c>
    </row>
    <row r="29" spans="1:22" x14ac:dyDescent="0.3">
      <c r="A29" s="1">
        <v>27</v>
      </c>
      <c r="B29" t="s">
        <v>28</v>
      </c>
      <c r="C29">
        <v>4</v>
      </c>
      <c r="D29">
        <v>5</v>
      </c>
      <c r="F29" s="5">
        <v>5</v>
      </c>
      <c r="G29" s="8">
        <f t="shared" si="8"/>
        <v>0</v>
      </c>
      <c r="H29" s="8">
        <f t="shared" si="8"/>
        <v>0</v>
      </c>
      <c r="I29" s="8">
        <f t="shared" si="8"/>
        <v>0.25</v>
      </c>
      <c r="J29" s="8">
        <f t="shared" si="8"/>
        <v>0.625</v>
      </c>
    </row>
    <row r="30" spans="1:22" x14ac:dyDescent="0.3">
      <c r="A30" s="1">
        <v>28</v>
      </c>
      <c r="B30" t="s">
        <v>28</v>
      </c>
      <c r="C30">
        <v>5</v>
      </c>
      <c r="D30">
        <v>4</v>
      </c>
      <c r="F30" s="5">
        <v>6</v>
      </c>
      <c r="G30" s="8">
        <f t="shared" si="8"/>
        <v>0.125</v>
      </c>
      <c r="H30" s="8">
        <f t="shared" si="8"/>
        <v>0.125</v>
      </c>
      <c r="I30" s="8">
        <f t="shared" si="8"/>
        <v>0</v>
      </c>
      <c r="J30" s="8">
        <f t="shared" si="8"/>
        <v>0</v>
      </c>
    </row>
    <row r="31" spans="1:22" x14ac:dyDescent="0.3">
      <c r="A31" s="1">
        <v>29</v>
      </c>
      <c r="B31" t="s">
        <v>28</v>
      </c>
      <c r="C31">
        <v>6</v>
      </c>
      <c r="D31">
        <v>1</v>
      </c>
      <c r="F31" s="5">
        <v>7</v>
      </c>
      <c r="G31" s="8">
        <f t="shared" si="8"/>
        <v>0</v>
      </c>
      <c r="H31" s="8">
        <f t="shared" si="8"/>
        <v>0.125</v>
      </c>
      <c r="I31" s="8">
        <f t="shared" si="8"/>
        <v>0</v>
      </c>
      <c r="J31" s="8">
        <f t="shared" si="8"/>
        <v>0.75</v>
      </c>
    </row>
    <row r="32" spans="1:22" x14ac:dyDescent="0.3">
      <c r="A32" s="1">
        <v>30</v>
      </c>
      <c r="B32" t="s">
        <v>28</v>
      </c>
      <c r="C32">
        <v>7</v>
      </c>
      <c r="D32">
        <v>5</v>
      </c>
      <c r="F32" s="5">
        <v>8</v>
      </c>
      <c r="G32" s="8">
        <f t="shared" si="8"/>
        <v>0</v>
      </c>
      <c r="H32" s="8">
        <f t="shared" si="8"/>
        <v>0</v>
      </c>
      <c r="I32" s="8">
        <f t="shared" si="8"/>
        <v>0</v>
      </c>
      <c r="J32" s="8">
        <f t="shared" si="8"/>
        <v>0.875</v>
      </c>
    </row>
    <row r="33" spans="1:4" x14ac:dyDescent="0.3">
      <c r="A33" s="1">
        <v>31</v>
      </c>
      <c r="B33" t="s">
        <v>28</v>
      </c>
      <c r="C33">
        <v>8</v>
      </c>
      <c r="D33">
        <v>5</v>
      </c>
    </row>
    <row r="34" spans="1:4" x14ac:dyDescent="0.3">
      <c r="A34" s="1">
        <v>32</v>
      </c>
      <c r="B34" t="s">
        <v>6</v>
      </c>
      <c r="C34">
        <v>1</v>
      </c>
      <c r="D34">
        <v>5</v>
      </c>
    </row>
    <row r="35" spans="1:4" x14ac:dyDescent="0.3">
      <c r="A35" s="1">
        <v>33</v>
      </c>
      <c r="B35" t="s">
        <v>6</v>
      </c>
      <c r="C35">
        <v>2</v>
      </c>
      <c r="D35">
        <v>5</v>
      </c>
    </row>
    <row r="36" spans="1:4" x14ac:dyDescent="0.3">
      <c r="A36" s="1">
        <v>34</v>
      </c>
      <c r="B36" t="s">
        <v>6</v>
      </c>
      <c r="C36">
        <v>3</v>
      </c>
      <c r="D36">
        <v>3</v>
      </c>
    </row>
    <row r="37" spans="1:4" x14ac:dyDescent="0.3">
      <c r="A37" s="1">
        <v>35</v>
      </c>
      <c r="B37" t="s">
        <v>6</v>
      </c>
      <c r="C37">
        <v>4</v>
      </c>
      <c r="D37">
        <v>5</v>
      </c>
    </row>
    <row r="38" spans="1:4" x14ac:dyDescent="0.3">
      <c r="A38" s="1">
        <v>36</v>
      </c>
      <c r="B38" t="s">
        <v>6</v>
      </c>
      <c r="C38">
        <v>5</v>
      </c>
      <c r="D38">
        <v>5</v>
      </c>
    </row>
    <row r="39" spans="1:4" x14ac:dyDescent="0.3">
      <c r="A39" s="1">
        <v>37</v>
      </c>
      <c r="B39" t="s">
        <v>6</v>
      </c>
      <c r="C39">
        <v>6</v>
      </c>
      <c r="D39">
        <v>3</v>
      </c>
    </row>
    <row r="40" spans="1:4" x14ac:dyDescent="0.3">
      <c r="A40" s="1">
        <v>38</v>
      </c>
      <c r="B40" t="s">
        <v>6</v>
      </c>
      <c r="C40">
        <v>7</v>
      </c>
      <c r="D40">
        <v>5</v>
      </c>
    </row>
    <row r="41" spans="1:4" x14ac:dyDescent="0.3">
      <c r="A41" s="1">
        <v>39</v>
      </c>
      <c r="B41" t="s">
        <v>6</v>
      </c>
      <c r="C41">
        <v>8</v>
      </c>
      <c r="D41">
        <v>5</v>
      </c>
    </row>
    <row r="42" spans="1:4" x14ac:dyDescent="0.3">
      <c r="A42" s="1">
        <v>40</v>
      </c>
      <c r="B42" t="s">
        <v>29</v>
      </c>
      <c r="C42">
        <v>1</v>
      </c>
      <c r="D42">
        <v>3</v>
      </c>
    </row>
    <row r="43" spans="1:4" x14ac:dyDescent="0.3">
      <c r="A43" s="1">
        <v>41</v>
      </c>
      <c r="B43" t="s">
        <v>29</v>
      </c>
      <c r="C43">
        <v>2</v>
      </c>
      <c r="D43">
        <v>5</v>
      </c>
    </row>
    <row r="44" spans="1:4" x14ac:dyDescent="0.3">
      <c r="A44" s="1">
        <v>42</v>
      </c>
      <c r="B44" t="s">
        <v>29</v>
      </c>
      <c r="C44">
        <v>3</v>
      </c>
      <c r="D44">
        <v>3</v>
      </c>
    </row>
    <row r="45" spans="1:4" x14ac:dyDescent="0.3">
      <c r="A45" s="1">
        <v>43</v>
      </c>
      <c r="B45" t="s">
        <v>29</v>
      </c>
      <c r="C45">
        <v>4</v>
      </c>
      <c r="D45">
        <v>5</v>
      </c>
    </row>
    <row r="46" spans="1:4" x14ac:dyDescent="0.3">
      <c r="A46" s="1">
        <v>44</v>
      </c>
      <c r="B46" t="s">
        <v>29</v>
      </c>
      <c r="C46">
        <v>5</v>
      </c>
      <c r="D46">
        <v>5</v>
      </c>
    </row>
    <row r="47" spans="1:4" x14ac:dyDescent="0.3">
      <c r="A47" s="1">
        <v>45</v>
      </c>
      <c r="B47" t="s">
        <v>29</v>
      </c>
      <c r="C47">
        <v>6</v>
      </c>
      <c r="D47">
        <v>1</v>
      </c>
    </row>
    <row r="48" spans="1:4" x14ac:dyDescent="0.3">
      <c r="A48" s="1">
        <v>46</v>
      </c>
      <c r="B48" t="s">
        <v>29</v>
      </c>
      <c r="C48">
        <v>7</v>
      </c>
      <c r="D48">
        <v>5</v>
      </c>
    </row>
    <row r="49" spans="1:4" x14ac:dyDescent="0.3">
      <c r="A49" s="1">
        <v>47</v>
      </c>
      <c r="B49" t="s">
        <v>29</v>
      </c>
      <c r="C49">
        <v>8</v>
      </c>
      <c r="D49">
        <v>5</v>
      </c>
    </row>
    <row r="50" spans="1:4" x14ac:dyDescent="0.3">
      <c r="A50" s="1">
        <v>48</v>
      </c>
      <c r="B50" t="s">
        <v>30</v>
      </c>
      <c r="C50">
        <v>1</v>
      </c>
      <c r="D50">
        <v>1</v>
      </c>
    </row>
    <row r="51" spans="1:4" x14ac:dyDescent="0.3">
      <c r="A51" s="1">
        <v>49</v>
      </c>
      <c r="B51" t="s">
        <v>30</v>
      </c>
      <c r="C51">
        <v>2</v>
      </c>
      <c r="D51">
        <v>4</v>
      </c>
    </row>
    <row r="52" spans="1:4" x14ac:dyDescent="0.3">
      <c r="A52" s="1">
        <v>50</v>
      </c>
      <c r="B52" t="s">
        <v>30</v>
      </c>
      <c r="C52">
        <v>3</v>
      </c>
      <c r="D52">
        <v>3</v>
      </c>
    </row>
    <row r="53" spans="1:4" x14ac:dyDescent="0.3">
      <c r="A53" s="1">
        <v>51</v>
      </c>
      <c r="B53" t="s">
        <v>30</v>
      </c>
      <c r="C53">
        <v>4</v>
      </c>
      <c r="D53">
        <v>3</v>
      </c>
    </row>
    <row r="54" spans="1:4" x14ac:dyDescent="0.3">
      <c r="A54" s="1">
        <v>52</v>
      </c>
      <c r="B54" t="s">
        <v>30</v>
      </c>
      <c r="C54">
        <v>5</v>
      </c>
      <c r="D54">
        <v>4</v>
      </c>
    </row>
    <row r="55" spans="1:4" x14ac:dyDescent="0.3">
      <c r="A55" s="1">
        <v>53</v>
      </c>
      <c r="B55" t="s">
        <v>30</v>
      </c>
      <c r="C55">
        <v>6</v>
      </c>
      <c r="D55">
        <v>1</v>
      </c>
    </row>
    <row r="56" spans="1:4" x14ac:dyDescent="0.3">
      <c r="A56" s="1">
        <v>54</v>
      </c>
      <c r="B56" t="s">
        <v>30</v>
      </c>
      <c r="C56">
        <v>7</v>
      </c>
      <c r="D56">
        <v>5</v>
      </c>
    </row>
    <row r="57" spans="1:4" x14ac:dyDescent="0.3">
      <c r="A57" s="1">
        <v>55</v>
      </c>
      <c r="B57" t="s">
        <v>30</v>
      </c>
      <c r="C57">
        <v>8</v>
      </c>
      <c r="D57">
        <v>5</v>
      </c>
    </row>
    <row r="58" spans="1:4" x14ac:dyDescent="0.3">
      <c r="A58" s="1">
        <v>56</v>
      </c>
      <c r="B58" t="s">
        <v>31</v>
      </c>
      <c r="C58">
        <v>1</v>
      </c>
      <c r="D58">
        <v>1</v>
      </c>
    </row>
    <row r="59" spans="1:4" x14ac:dyDescent="0.3">
      <c r="A59" s="1">
        <v>57</v>
      </c>
      <c r="B59" t="s">
        <v>31</v>
      </c>
      <c r="C59">
        <v>2</v>
      </c>
      <c r="D59">
        <v>5</v>
      </c>
    </row>
    <row r="60" spans="1:4" x14ac:dyDescent="0.3">
      <c r="A60" s="1">
        <v>58</v>
      </c>
      <c r="B60" t="s">
        <v>31</v>
      </c>
      <c r="C60">
        <v>3</v>
      </c>
      <c r="D60">
        <v>3</v>
      </c>
    </row>
    <row r="61" spans="1:4" x14ac:dyDescent="0.3">
      <c r="A61" s="1">
        <v>59</v>
      </c>
      <c r="B61" t="s">
        <v>31</v>
      </c>
      <c r="C61">
        <v>4</v>
      </c>
      <c r="D61">
        <v>3</v>
      </c>
    </row>
    <row r="62" spans="1:4" x14ac:dyDescent="0.3">
      <c r="A62" s="1">
        <v>60</v>
      </c>
      <c r="B62" t="s">
        <v>31</v>
      </c>
      <c r="C62">
        <v>5</v>
      </c>
      <c r="D62">
        <v>0</v>
      </c>
    </row>
    <row r="63" spans="1:4" x14ac:dyDescent="0.3">
      <c r="A63" s="1">
        <v>61</v>
      </c>
      <c r="B63" t="s">
        <v>31</v>
      </c>
      <c r="C63">
        <v>6</v>
      </c>
      <c r="D63">
        <v>1</v>
      </c>
    </row>
    <row r="64" spans="1:4" x14ac:dyDescent="0.3">
      <c r="A64" s="1">
        <v>62</v>
      </c>
      <c r="B64" t="s">
        <v>31</v>
      </c>
      <c r="C64">
        <v>7</v>
      </c>
      <c r="D64">
        <v>1</v>
      </c>
    </row>
    <row r="65" spans="1:6" x14ac:dyDescent="0.3">
      <c r="A65" s="1">
        <v>63</v>
      </c>
      <c r="B65" t="s">
        <v>31</v>
      </c>
      <c r="C65">
        <v>8</v>
      </c>
      <c r="D65">
        <v>5</v>
      </c>
    </row>
    <row r="66" spans="1:6" x14ac:dyDescent="0.3">
      <c r="A66" s="1">
        <v>64</v>
      </c>
      <c r="B66" t="s">
        <v>20</v>
      </c>
      <c r="C66">
        <v>1</v>
      </c>
      <c r="D66">
        <v>1</v>
      </c>
    </row>
    <row r="67" spans="1:6" x14ac:dyDescent="0.3">
      <c r="A67" s="1">
        <v>65</v>
      </c>
      <c r="B67" t="s">
        <v>20</v>
      </c>
      <c r="C67">
        <v>2</v>
      </c>
      <c r="D67">
        <v>5</v>
      </c>
    </row>
    <row r="68" spans="1:6" x14ac:dyDescent="0.3">
      <c r="A68" s="1">
        <v>66</v>
      </c>
      <c r="B68" t="s">
        <v>20</v>
      </c>
      <c r="C68">
        <v>3</v>
      </c>
      <c r="D68">
        <v>3</v>
      </c>
    </row>
    <row r="69" spans="1:6" x14ac:dyDescent="0.3">
      <c r="A69" s="1">
        <v>67</v>
      </c>
      <c r="B69" t="s">
        <v>20</v>
      </c>
      <c r="C69">
        <v>4</v>
      </c>
      <c r="D69">
        <v>4</v>
      </c>
      <c r="F69" s="9"/>
    </row>
    <row r="70" spans="1:6" x14ac:dyDescent="0.3">
      <c r="A70" s="1">
        <v>68</v>
      </c>
      <c r="B70" t="s">
        <v>20</v>
      </c>
      <c r="C70">
        <v>5</v>
      </c>
      <c r="D70">
        <v>3</v>
      </c>
    </row>
    <row r="71" spans="1:6" x14ac:dyDescent="0.3">
      <c r="A71" s="1">
        <v>69</v>
      </c>
      <c r="B71" t="s">
        <v>20</v>
      </c>
      <c r="C71">
        <v>6</v>
      </c>
      <c r="D71">
        <v>2</v>
      </c>
    </row>
    <row r="72" spans="1:6" x14ac:dyDescent="0.3">
      <c r="A72" s="1">
        <v>70</v>
      </c>
      <c r="B72" t="s">
        <v>20</v>
      </c>
      <c r="C72">
        <v>7</v>
      </c>
      <c r="D72">
        <v>4</v>
      </c>
    </row>
    <row r="73" spans="1:6" x14ac:dyDescent="0.3">
      <c r="A73" s="1">
        <v>71</v>
      </c>
      <c r="B73" t="s">
        <v>20</v>
      </c>
      <c r="C73">
        <v>8</v>
      </c>
      <c r="D73">
        <v>4</v>
      </c>
    </row>
  </sheetData>
  <mergeCells count="2">
    <mergeCell ref="G12:J12"/>
    <mergeCell ref="G23:J23"/>
  </mergeCells>
  <conditionalFormatting sqref="G14:J21">
    <cfRule type="colorScale" priority="8">
      <colorScale>
        <cfvo type="min"/>
        <cfvo type="max"/>
        <color rgb="FFFCFCFF"/>
        <color rgb="FF63BE7B"/>
      </colorScale>
    </cfRule>
  </conditionalFormatting>
  <conditionalFormatting sqref="G25:J32">
    <cfRule type="colorScale" priority="9">
      <colorScale>
        <cfvo type="min"/>
        <cfvo type="max"/>
        <color rgb="FFFCFCFF"/>
        <color rgb="FF63BE7B"/>
      </colorScale>
    </cfRule>
  </conditionalFormatting>
  <conditionalFormatting sqref="G2:L10">
    <cfRule type="colorScale" priority="7">
      <colorScale>
        <cfvo type="min"/>
        <cfvo type="max"/>
        <color rgb="FFFCFCFF"/>
        <color rgb="FF63BE7B"/>
      </colorScale>
    </cfRule>
  </conditionalFormatting>
  <conditionalFormatting sqref="M2:M1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9:V27">
    <cfRule type="colorScale" priority="2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B8CB9-9325-46A9-A07E-D96C76C0C971}">
  <dimension ref="A1:G10"/>
  <sheetViews>
    <sheetView workbookViewId="0">
      <selection activeCell="C13" sqref="C13"/>
    </sheetView>
  </sheetViews>
  <sheetFormatPr defaultRowHeight="14.4" x14ac:dyDescent="0.3"/>
  <cols>
    <col min="1" max="1" width="14.88671875" customWidth="1"/>
  </cols>
  <sheetData>
    <row r="1" spans="1:7" x14ac:dyDescent="0.3">
      <c r="B1" t="s">
        <v>34</v>
      </c>
      <c r="C1" t="s">
        <v>35</v>
      </c>
      <c r="D1" t="s">
        <v>36</v>
      </c>
      <c r="E1" t="s">
        <v>34</v>
      </c>
      <c r="F1" t="s">
        <v>35</v>
      </c>
      <c r="G1" t="s">
        <v>36</v>
      </c>
    </row>
    <row r="2" spans="1:7" x14ac:dyDescent="0.3">
      <c r="A2" t="s">
        <v>3</v>
      </c>
      <c r="B2">
        <f>RANK(E2,E$2:E$10)</f>
        <v>6</v>
      </c>
      <c r="C2">
        <f t="shared" ref="C2:D2" si="0">RANK(F2,F$2:F$10)</f>
        <v>9</v>
      </c>
      <c r="D2">
        <f t="shared" si="0"/>
        <v>8</v>
      </c>
      <c r="E2">
        <v>5.25</v>
      </c>
      <c r="F2">
        <v>4.25</v>
      </c>
      <c r="G2">
        <f>AVERAGE(E2:F2)</f>
        <v>4.75</v>
      </c>
    </row>
    <row r="3" spans="1:7" x14ac:dyDescent="0.3">
      <c r="A3" t="s">
        <v>4</v>
      </c>
      <c r="B3">
        <f t="shared" ref="B3:B10" si="1">RANK(E3,E$2:E$10)</f>
        <v>9</v>
      </c>
      <c r="C3">
        <f t="shared" ref="C3:C10" si="2">RANK(F3,F$2:F$10)</f>
        <v>7</v>
      </c>
      <c r="D3">
        <f t="shared" ref="D3:D10" si="3">RANK(G3,G$2:G$10)</f>
        <v>9</v>
      </c>
      <c r="E3">
        <v>3.5</v>
      </c>
      <c r="F3">
        <v>5.25</v>
      </c>
      <c r="G3">
        <f t="shared" ref="G3:G10" si="4">AVERAGE(E3:F3)</f>
        <v>4.375</v>
      </c>
    </row>
    <row r="4" spans="1:7" x14ac:dyDescent="0.3">
      <c r="A4" t="s">
        <v>5</v>
      </c>
      <c r="B4">
        <f t="shared" si="1"/>
        <v>2</v>
      </c>
      <c r="C4">
        <f t="shared" si="2"/>
        <v>6</v>
      </c>
      <c r="D4">
        <f t="shared" si="3"/>
        <v>5</v>
      </c>
      <c r="E4">
        <v>7.25</v>
      </c>
      <c r="F4">
        <v>8</v>
      </c>
      <c r="G4">
        <f t="shared" si="4"/>
        <v>7.625</v>
      </c>
    </row>
    <row r="5" spans="1:7" x14ac:dyDescent="0.3">
      <c r="A5" t="s">
        <v>6</v>
      </c>
      <c r="B5">
        <f t="shared" si="1"/>
        <v>1</v>
      </c>
      <c r="C5">
        <f t="shared" si="2"/>
        <v>1</v>
      </c>
      <c r="D5">
        <f t="shared" si="3"/>
        <v>1</v>
      </c>
      <c r="E5">
        <v>8.5</v>
      </c>
      <c r="F5">
        <v>9.625</v>
      </c>
      <c r="G5">
        <f t="shared" si="4"/>
        <v>9.0625</v>
      </c>
    </row>
    <row r="6" spans="1:7" x14ac:dyDescent="0.3">
      <c r="A6" t="s">
        <v>7</v>
      </c>
      <c r="B6">
        <f t="shared" si="1"/>
        <v>6</v>
      </c>
      <c r="C6">
        <f t="shared" si="2"/>
        <v>1</v>
      </c>
      <c r="D6">
        <f t="shared" si="3"/>
        <v>6</v>
      </c>
      <c r="E6">
        <v>5.25</v>
      </c>
      <c r="F6">
        <v>9.625</v>
      </c>
      <c r="G6">
        <f t="shared" si="4"/>
        <v>7.4375</v>
      </c>
    </row>
    <row r="7" spans="1:7" x14ac:dyDescent="0.3">
      <c r="A7" t="s">
        <v>8</v>
      </c>
      <c r="B7">
        <f t="shared" si="1"/>
        <v>4</v>
      </c>
      <c r="C7">
        <f t="shared" si="2"/>
        <v>1</v>
      </c>
      <c r="D7">
        <f t="shared" si="3"/>
        <v>2</v>
      </c>
      <c r="E7">
        <v>6.75</v>
      </c>
      <c r="F7">
        <v>9.625</v>
      </c>
      <c r="G7">
        <f t="shared" si="4"/>
        <v>8.1875</v>
      </c>
    </row>
    <row r="8" spans="1:7" x14ac:dyDescent="0.3">
      <c r="A8" t="s">
        <v>9</v>
      </c>
      <c r="B8">
        <f t="shared" si="1"/>
        <v>2</v>
      </c>
      <c r="C8">
        <f t="shared" si="2"/>
        <v>5</v>
      </c>
      <c r="D8">
        <f t="shared" si="3"/>
        <v>4</v>
      </c>
      <c r="E8">
        <v>7.25</v>
      </c>
      <c r="F8">
        <v>8.75</v>
      </c>
      <c r="G8">
        <f t="shared" si="4"/>
        <v>8</v>
      </c>
    </row>
    <row r="9" spans="1:7" x14ac:dyDescent="0.3">
      <c r="A9" t="s">
        <v>10</v>
      </c>
      <c r="B9">
        <f t="shared" si="1"/>
        <v>4</v>
      </c>
      <c r="C9">
        <f t="shared" si="2"/>
        <v>1</v>
      </c>
      <c r="D9">
        <f t="shared" si="3"/>
        <v>2</v>
      </c>
      <c r="E9">
        <v>6.75</v>
      </c>
      <c r="F9">
        <v>9.625</v>
      </c>
      <c r="G9">
        <f t="shared" si="4"/>
        <v>8.1875</v>
      </c>
    </row>
    <row r="10" spans="1:7" x14ac:dyDescent="0.3">
      <c r="A10" t="s">
        <v>18</v>
      </c>
      <c r="B10">
        <f t="shared" si="1"/>
        <v>8</v>
      </c>
      <c r="C10">
        <f t="shared" si="2"/>
        <v>8</v>
      </c>
      <c r="D10">
        <f t="shared" si="3"/>
        <v>7</v>
      </c>
      <c r="E10">
        <v>4.875</v>
      </c>
      <c r="F10">
        <v>4.875</v>
      </c>
      <c r="G10">
        <f t="shared" si="4"/>
        <v>4.875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DE77AB-1DB6-498D-B938-32788A53B4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Brenno Biase</cp:lastModifiedBy>
  <dcterms:created xsi:type="dcterms:W3CDTF">2025-05-29T20:47:07Z</dcterms:created>
  <dcterms:modified xsi:type="dcterms:W3CDTF">2025-10-22T22:42:21Z</dcterms:modified>
</cp:coreProperties>
</file>