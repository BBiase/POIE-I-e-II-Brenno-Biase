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TESTES RAG APRIMORADO\Resultado Rag aprimorado corrigido\"/>
    </mc:Choice>
  </mc:AlternateContent>
  <xr:revisionPtr revIDLastSave="0" documentId="13_ncr:1_{6B70CD39-382A-47A3-992D-427214694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8" i="1"/>
  <c r="J8" i="1"/>
  <c r="K8" i="1"/>
  <c r="L8" i="1"/>
  <c r="M8" i="1"/>
  <c r="N8" i="1"/>
  <c r="O8" i="1"/>
  <c r="P8" i="1"/>
  <c r="Q8" i="1"/>
  <c r="Q2" i="1"/>
  <c r="I2" i="1"/>
  <c r="M2" i="1"/>
  <c r="I26" i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J25" i="1"/>
  <c r="K25" i="1"/>
  <c r="L25" i="1"/>
  <c r="M25" i="1"/>
  <c r="N25" i="1"/>
  <c r="I25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J14" i="1"/>
  <c r="K14" i="1"/>
  <c r="L14" i="1"/>
  <c r="M14" i="1"/>
  <c r="N14" i="1"/>
  <c r="I14" i="1"/>
  <c r="J2" i="1"/>
  <c r="I3" i="1"/>
  <c r="J3" i="1"/>
  <c r="I4" i="1"/>
  <c r="I6" i="1"/>
  <c r="I7" i="1"/>
  <c r="I9" i="1"/>
  <c r="I10" i="1"/>
  <c r="J10" i="1"/>
  <c r="K10" i="1"/>
  <c r="L10" i="1"/>
  <c r="M10" i="1"/>
  <c r="N10" i="1"/>
  <c r="O10" i="1"/>
  <c r="P10" i="1"/>
  <c r="Q10" i="1"/>
  <c r="K3" i="1"/>
  <c r="L3" i="1"/>
  <c r="M3" i="1"/>
  <c r="N3" i="1"/>
  <c r="O3" i="1"/>
  <c r="P3" i="1"/>
  <c r="Q3" i="1"/>
  <c r="J4" i="1"/>
  <c r="K4" i="1"/>
  <c r="L4" i="1"/>
  <c r="M4" i="1"/>
  <c r="N4" i="1"/>
  <c r="O4" i="1"/>
  <c r="P4" i="1"/>
  <c r="Q4" i="1"/>
  <c r="J5" i="1"/>
  <c r="K5" i="1"/>
  <c r="L5" i="1"/>
  <c r="M5" i="1"/>
  <c r="N5" i="1"/>
  <c r="O5" i="1"/>
  <c r="P5" i="1"/>
  <c r="Q5" i="1"/>
  <c r="J6" i="1"/>
  <c r="K6" i="1"/>
  <c r="L6" i="1"/>
  <c r="M6" i="1"/>
  <c r="N6" i="1"/>
  <c r="O6" i="1"/>
  <c r="P6" i="1"/>
  <c r="Q6" i="1"/>
  <c r="J7" i="1"/>
  <c r="K7" i="1"/>
  <c r="L7" i="1"/>
  <c r="M7" i="1"/>
  <c r="N7" i="1"/>
  <c r="O7" i="1"/>
  <c r="P7" i="1"/>
  <c r="Q7" i="1"/>
  <c r="J9" i="1"/>
  <c r="K9" i="1"/>
  <c r="L9" i="1"/>
  <c r="M9" i="1"/>
  <c r="N9" i="1"/>
  <c r="O9" i="1"/>
  <c r="P9" i="1"/>
  <c r="Q9" i="1"/>
  <c r="P2" i="1"/>
  <c r="O2" i="1"/>
  <c r="N2" i="1"/>
  <c r="L2" i="1"/>
  <c r="K2" i="1"/>
</calcChain>
</file>

<file path=xl/sharedStrings.xml><?xml version="1.0" encoding="utf-8"?>
<sst xmlns="http://schemas.openxmlformats.org/spreadsheetml/2006/main" count="132" uniqueCount="35">
  <si>
    <t>MD</t>
  </si>
  <si>
    <t>TC</t>
  </si>
  <si>
    <t>PE</t>
  </si>
  <si>
    <t>TR</t>
  </si>
  <si>
    <t>CL</t>
  </si>
  <si>
    <t>DeepSeek-r1:7b</t>
  </si>
  <si>
    <t>DeepSeek-r1:8b</t>
  </si>
  <si>
    <t>Llama3</t>
  </si>
  <si>
    <t>gemma3:4b</t>
  </si>
  <si>
    <t>mistral:7b</t>
  </si>
  <si>
    <t>phi4:14b</t>
  </si>
  <si>
    <t>DeepSeek-r1:14b</t>
  </si>
  <si>
    <t>gemma3:12b</t>
  </si>
  <si>
    <t>MODELO</t>
  </si>
  <si>
    <t>TCM</t>
  </si>
  <si>
    <t>TRM</t>
  </si>
  <si>
    <t>NM</t>
  </si>
  <si>
    <t>Tempo de carregamento médio</t>
  </si>
  <si>
    <t>Tempo de resposta médio</t>
  </si>
  <si>
    <t>Percentual de respostas do modelo que receberam classificação 0</t>
  </si>
  <si>
    <t>faiss</t>
  </si>
  <si>
    <t>PERGUNTAS</t>
  </si>
  <si>
    <t>FAISS</t>
  </si>
  <si>
    <t>1</t>
  </si>
  <si>
    <t>5</t>
  </si>
  <si>
    <t>3</t>
  </si>
  <si>
    <t>0</t>
  </si>
  <si>
    <t>2</t>
  </si>
  <si>
    <t>4</t>
  </si>
  <si>
    <t>Nota média (considerando 10 para CL 5, 7 para CL 4, 4 para CL 3 e 0 para as demais</t>
  </si>
  <si>
    <t>CLASSIFICAÇÕES (C/ FAISS)</t>
  </si>
  <si>
    <t>CLASSIFICAÇÕES (S/ FAISS)</t>
  </si>
  <si>
    <t>ICL</t>
  </si>
  <si>
    <t>RAG</t>
  </si>
  <si>
    <t>RAG APRIMORADO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</si>
</sst>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64" fontId="0" fillId="0" borderId="1" xfId="0" applyNumberFormat="1" applyBorder="1"/>
    <xf numFmtId="0" fontId="5" fillId="0" borderId="0" xfId="0" applyFont="1"/>
    <xf numFmtId="2" fontId="0" fillId="0" borderId="1" xfId="0" applyNumberFormat="1" applyBorder="1"/>
    <xf numFmtId="43" fontId="3" fillId="0" borderId="1" xfId="1" quotePrefix="1" applyFont="1" applyBorder="1"/>
    <xf numFmtId="10" fontId="0" fillId="0" borderId="1" xfId="2" applyNumberFormat="1" applyFont="1" applyBorder="1"/>
    <xf numFmtId="43" fontId="3" fillId="0" borderId="0" xfId="1" quotePrefix="1" applyFont="1" applyBorder="1"/>
    <xf numFmtId="0" fontId="1" fillId="0" borderId="0" xfId="0" applyFont="1" applyAlignment="1">
      <alignment horizontal="center" vertical="top"/>
    </xf>
    <xf numFmtId="43" fontId="0" fillId="0" borderId="0" xfId="1" applyFont="1" applyBorder="1"/>
    <xf numFmtId="10" fontId="0" fillId="0" borderId="0" xfId="2" applyNumberFormat="1" applyFont="1" applyBorder="1"/>
    <xf numFmtId="0" fontId="3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3"/>
  <sheetViews>
    <sheetView tabSelected="1" topLeftCell="Q24" zoomScale="76" zoomScaleNormal="121" workbookViewId="0">
      <selection activeCell="W45" sqref="W45:Z50"/>
    </sheetView>
  </sheetViews>
  <sheetFormatPr defaultRowHeight="14.4" x14ac:dyDescent="0.3"/>
  <cols>
    <col min="2" max="2" width="18.44140625" customWidth="1"/>
    <col min="8" max="8" width="15" bestFit="1" customWidth="1"/>
    <col min="9" max="9" width="9.44140625" bestFit="1" customWidth="1"/>
    <col min="10" max="10" width="10.44140625" bestFit="1" customWidth="1"/>
    <col min="18" max="18" width="15.6640625" customWidth="1"/>
    <col min="20" max="20" width="15.21875" customWidth="1"/>
    <col min="22" max="22" width="8.44140625" customWidth="1"/>
    <col min="23" max="23" width="13.5546875" customWidth="1"/>
    <col min="29" max="29" width="11.77734375" customWidth="1"/>
    <col min="31" max="31" width="16.44140625" customWidth="1"/>
  </cols>
  <sheetData>
    <row r="1" spans="1:20" x14ac:dyDescent="0.3">
      <c r="B1" s="3" t="s">
        <v>0</v>
      </c>
      <c r="C1" s="3" t="s">
        <v>1</v>
      </c>
      <c r="D1" s="1" t="s">
        <v>2</v>
      </c>
      <c r="E1" s="3" t="s">
        <v>3</v>
      </c>
      <c r="F1" s="3" t="s">
        <v>4</v>
      </c>
      <c r="H1" s="1" t="s">
        <v>13</v>
      </c>
      <c r="I1" s="1" t="s">
        <v>14</v>
      </c>
      <c r="J1" s="3" t="s">
        <v>15</v>
      </c>
      <c r="K1" s="11" t="s">
        <v>26</v>
      </c>
      <c r="L1" s="11" t="s">
        <v>23</v>
      </c>
      <c r="M1" s="11" t="s">
        <v>27</v>
      </c>
      <c r="N1" s="11" t="s">
        <v>25</v>
      </c>
      <c r="O1" s="11" t="s">
        <v>28</v>
      </c>
      <c r="P1" s="11" t="s">
        <v>24</v>
      </c>
      <c r="Q1" s="4" t="s">
        <v>16</v>
      </c>
    </row>
    <row r="2" spans="1:20" x14ac:dyDescent="0.3">
      <c r="A2" s="1">
        <v>0</v>
      </c>
      <c r="B2" t="s">
        <v>8</v>
      </c>
      <c r="C2">
        <v>6.2849760000000003</v>
      </c>
      <c r="D2">
        <v>1</v>
      </c>
      <c r="E2">
        <v>13.326657000000001</v>
      </c>
      <c r="F2">
        <v>5</v>
      </c>
      <c r="H2" s="5" t="s">
        <v>5</v>
      </c>
      <c r="I2" s="10" t="e">
        <f t="shared" ref="I2:I10" si="0">SUMIFS(C:C,B:B,H2)/COUNTIFS(B:B,H2)</f>
        <v>#DIV/0!</v>
      </c>
      <c r="J2" s="10" t="e">
        <f t="shared" ref="J2:J10" si="1">SUMIFS(E:E,B:B,H2)/COUNTIFS(B:B,H2)</f>
        <v>#DIV/0!</v>
      </c>
      <c r="K2" s="12" t="e">
        <f t="shared" ref="K2:K10" si="2">COUNTIFS(B:B,H2,F:F,0)/COUNTIFS(B:B,H2)</f>
        <v>#DIV/0!</v>
      </c>
      <c r="L2" s="12" t="e">
        <f t="shared" ref="L2:L10" si="3">COUNTIFS(B:B,H2,F:F,1)/COUNTIFS(B:B,H2)</f>
        <v>#DIV/0!</v>
      </c>
      <c r="M2" s="12" t="e">
        <f t="shared" ref="M2:M10" si="4">COUNTIFS(B:B,H2,F:F,2)/COUNTIFS(B:B,H2)</f>
        <v>#DIV/0!</v>
      </c>
      <c r="N2" s="12" t="e">
        <f t="shared" ref="N2:N10" si="5">COUNTIFS(B:B,H2,F:F,3)/COUNTIFS(B:B,H2)</f>
        <v>#DIV/0!</v>
      </c>
      <c r="O2" s="12" t="e">
        <f t="shared" ref="O2:O10" si="6">COUNTIFS(B:B,H2,F:F,4)/COUNTIFS(B:B,H2)</f>
        <v>#DIV/0!</v>
      </c>
      <c r="P2" s="12" t="e">
        <f t="shared" ref="P2:P10" si="7">COUNTIFS(B:B,H2,F:F,5)/COUNTIFS(B:B,H2)</f>
        <v>#DIV/0!</v>
      </c>
      <c r="Q2" s="6" t="e">
        <f t="shared" ref="Q2:Q10" si="8">(COUNTIFS(B:B,H2,F:F,3)*4+COUNTIFS(B:B,H2,F:F,4)*7+COUNTIFS(B:B,H2,F:F,5)*10)/(COUNTIFS(B:B,H2))</f>
        <v>#DIV/0!</v>
      </c>
      <c r="S2" t="s">
        <v>14</v>
      </c>
      <c r="T2" t="s">
        <v>17</v>
      </c>
    </row>
    <row r="3" spans="1:20" x14ac:dyDescent="0.3">
      <c r="A3" s="1">
        <v>1</v>
      </c>
      <c r="B3" t="s">
        <v>8</v>
      </c>
      <c r="C3">
        <v>6.2849760000000003</v>
      </c>
      <c r="D3">
        <v>2</v>
      </c>
      <c r="E3">
        <v>20.366472999999999</v>
      </c>
      <c r="F3">
        <v>5</v>
      </c>
      <c r="H3" s="5" t="s">
        <v>6</v>
      </c>
      <c r="I3" s="10" t="e">
        <f t="shared" si="0"/>
        <v>#DIV/0!</v>
      </c>
      <c r="J3" s="10" t="e">
        <f t="shared" si="1"/>
        <v>#DIV/0!</v>
      </c>
      <c r="K3" s="12" t="e">
        <f t="shared" si="2"/>
        <v>#DIV/0!</v>
      </c>
      <c r="L3" s="12" t="e">
        <f t="shared" si="3"/>
        <v>#DIV/0!</v>
      </c>
      <c r="M3" s="12" t="e">
        <f t="shared" si="4"/>
        <v>#DIV/0!</v>
      </c>
      <c r="N3" s="12" t="e">
        <f t="shared" si="5"/>
        <v>#DIV/0!</v>
      </c>
      <c r="O3" s="12" t="e">
        <f t="shared" si="6"/>
        <v>#DIV/0!</v>
      </c>
      <c r="P3" s="12" t="e">
        <f t="shared" si="7"/>
        <v>#DIV/0!</v>
      </c>
      <c r="Q3" s="6" t="e">
        <f t="shared" si="8"/>
        <v>#DIV/0!</v>
      </c>
      <c r="S3" t="s">
        <v>15</v>
      </c>
      <c r="T3" t="s">
        <v>18</v>
      </c>
    </row>
    <row r="4" spans="1:20" x14ac:dyDescent="0.3">
      <c r="A4" s="1">
        <v>2</v>
      </c>
      <c r="B4" t="s">
        <v>8</v>
      </c>
      <c r="C4">
        <v>6.2849760000000003</v>
      </c>
      <c r="D4">
        <v>3</v>
      </c>
      <c r="E4">
        <v>103.65808</v>
      </c>
      <c r="F4">
        <v>5</v>
      </c>
      <c r="H4" s="5" t="s">
        <v>7</v>
      </c>
      <c r="I4" s="10" t="e">
        <f t="shared" si="0"/>
        <v>#DIV/0!</v>
      </c>
      <c r="J4" s="10" t="e">
        <f t="shared" si="1"/>
        <v>#DIV/0!</v>
      </c>
      <c r="K4" s="12" t="e">
        <f t="shared" si="2"/>
        <v>#DIV/0!</v>
      </c>
      <c r="L4" s="12" t="e">
        <f t="shared" si="3"/>
        <v>#DIV/0!</v>
      </c>
      <c r="M4" s="12" t="e">
        <f t="shared" si="4"/>
        <v>#DIV/0!</v>
      </c>
      <c r="N4" s="12" t="e">
        <f t="shared" si="5"/>
        <v>#DIV/0!</v>
      </c>
      <c r="O4" s="12" t="e">
        <f t="shared" si="6"/>
        <v>#DIV/0!</v>
      </c>
      <c r="P4" s="12" t="e">
        <f t="shared" si="7"/>
        <v>#DIV/0!</v>
      </c>
      <c r="Q4" s="6" t="e">
        <f t="shared" si="8"/>
        <v>#DIV/0!</v>
      </c>
      <c r="S4" s="2">
        <v>0</v>
      </c>
      <c r="T4" t="s">
        <v>19</v>
      </c>
    </row>
    <row r="5" spans="1:20" x14ac:dyDescent="0.3">
      <c r="A5" s="1">
        <v>3</v>
      </c>
      <c r="B5" t="s">
        <v>8</v>
      </c>
      <c r="C5">
        <v>6.2849760000000003</v>
      </c>
      <c r="D5">
        <v>4</v>
      </c>
      <c r="E5">
        <v>27.557323</v>
      </c>
      <c r="F5">
        <v>5</v>
      </c>
      <c r="H5" s="5" t="s">
        <v>8</v>
      </c>
      <c r="I5" s="10">
        <f t="shared" si="0"/>
        <v>6.2849760000000003</v>
      </c>
      <c r="J5" s="10">
        <f t="shared" si="1"/>
        <v>34.388758874999994</v>
      </c>
      <c r="K5" s="12">
        <f t="shared" si="2"/>
        <v>0</v>
      </c>
      <c r="L5" s="12">
        <f t="shared" si="3"/>
        <v>0.125</v>
      </c>
      <c r="M5" s="12">
        <f t="shared" si="4"/>
        <v>0</v>
      </c>
      <c r="N5" s="12">
        <f t="shared" si="5"/>
        <v>0.125</v>
      </c>
      <c r="O5" s="12">
        <f t="shared" si="6"/>
        <v>0</v>
      </c>
      <c r="P5" s="12">
        <f t="shared" si="7"/>
        <v>0.75</v>
      </c>
      <c r="Q5" s="6">
        <f t="shared" si="8"/>
        <v>8</v>
      </c>
      <c r="S5" t="s">
        <v>16</v>
      </c>
      <c r="T5" t="s">
        <v>29</v>
      </c>
    </row>
    <row r="6" spans="1:20" x14ac:dyDescent="0.3">
      <c r="A6" s="1">
        <v>4</v>
      </c>
      <c r="B6" t="s">
        <v>8</v>
      </c>
      <c r="C6">
        <v>6.2849760000000003</v>
      </c>
      <c r="D6">
        <v>5</v>
      </c>
      <c r="E6">
        <v>16.981428999999999</v>
      </c>
      <c r="F6">
        <v>5</v>
      </c>
      <c r="H6" s="5" t="s">
        <v>9</v>
      </c>
      <c r="I6" s="10">
        <f t="shared" si="0"/>
        <v>3.9469780000000005</v>
      </c>
      <c r="J6" s="10">
        <f t="shared" si="1"/>
        <v>126.9091435</v>
      </c>
      <c r="K6" s="12">
        <f t="shared" si="2"/>
        <v>0</v>
      </c>
      <c r="L6" s="12">
        <f t="shared" si="3"/>
        <v>0.125</v>
      </c>
      <c r="M6" s="12">
        <f t="shared" si="4"/>
        <v>0</v>
      </c>
      <c r="N6" s="12">
        <f t="shared" si="5"/>
        <v>0.125</v>
      </c>
      <c r="O6" s="12">
        <f t="shared" si="6"/>
        <v>0</v>
      </c>
      <c r="P6" s="12">
        <f t="shared" si="7"/>
        <v>0.75</v>
      </c>
      <c r="Q6" s="6">
        <f t="shared" si="8"/>
        <v>8</v>
      </c>
    </row>
    <row r="7" spans="1:20" x14ac:dyDescent="0.3">
      <c r="A7" s="1">
        <v>5</v>
      </c>
      <c r="B7" t="s">
        <v>8</v>
      </c>
      <c r="C7">
        <v>6.2849760000000003</v>
      </c>
      <c r="D7">
        <v>6</v>
      </c>
      <c r="E7">
        <v>28.553028000000001</v>
      </c>
      <c r="F7">
        <v>3</v>
      </c>
      <c r="H7" s="5" t="s">
        <v>10</v>
      </c>
      <c r="I7" s="10">
        <f t="shared" si="0"/>
        <v>19.602339000000001</v>
      </c>
      <c r="J7" s="10">
        <f t="shared" si="1"/>
        <v>244.35774650000005</v>
      </c>
      <c r="K7" s="12">
        <f t="shared" si="2"/>
        <v>0</v>
      </c>
      <c r="L7" s="12">
        <f t="shared" si="3"/>
        <v>0.125</v>
      </c>
      <c r="M7" s="12">
        <f t="shared" si="4"/>
        <v>0</v>
      </c>
      <c r="N7" s="12">
        <f t="shared" si="5"/>
        <v>0</v>
      </c>
      <c r="O7" s="12">
        <f t="shared" si="6"/>
        <v>0.125</v>
      </c>
      <c r="P7" s="12">
        <f t="shared" si="7"/>
        <v>0.75</v>
      </c>
      <c r="Q7" s="6">
        <f t="shared" si="8"/>
        <v>8.375</v>
      </c>
    </row>
    <row r="8" spans="1:20" x14ac:dyDescent="0.3">
      <c r="A8" s="1">
        <v>6</v>
      </c>
      <c r="B8" t="s">
        <v>8</v>
      </c>
      <c r="C8">
        <v>6.2849760000000003</v>
      </c>
      <c r="D8">
        <v>7</v>
      </c>
      <c r="E8">
        <v>38.325097999999997</v>
      </c>
      <c r="F8">
        <v>1</v>
      </c>
      <c r="H8" s="5" t="s">
        <v>11</v>
      </c>
      <c r="I8" s="10" t="e">
        <f t="shared" si="0"/>
        <v>#DIV/0!</v>
      </c>
      <c r="J8" s="10" t="e">
        <f t="shared" si="1"/>
        <v>#DIV/0!</v>
      </c>
      <c r="K8" s="12" t="e">
        <f t="shared" si="2"/>
        <v>#DIV/0!</v>
      </c>
      <c r="L8" s="12" t="e">
        <f t="shared" si="3"/>
        <v>#DIV/0!</v>
      </c>
      <c r="M8" s="12" t="e">
        <f t="shared" si="4"/>
        <v>#DIV/0!</v>
      </c>
      <c r="N8" s="12" t="e">
        <f t="shared" si="5"/>
        <v>#DIV/0!</v>
      </c>
      <c r="O8" s="12" t="e">
        <f t="shared" si="6"/>
        <v>#DIV/0!</v>
      </c>
      <c r="P8" s="12" t="e">
        <f t="shared" si="7"/>
        <v>#DIV/0!</v>
      </c>
      <c r="Q8" s="6" t="e">
        <f t="shared" si="8"/>
        <v>#DIV/0!</v>
      </c>
    </row>
    <row r="9" spans="1:20" x14ac:dyDescent="0.3">
      <c r="A9" s="1">
        <v>7</v>
      </c>
      <c r="B9" t="s">
        <v>8</v>
      </c>
      <c r="C9">
        <v>6.2849760000000003</v>
      </c>
      <c r="D9">
        <v>8</v>
      </c>
      <c r="E9">
        <v>26.341982999999999</v>
      </c>
      <c r="F9">
        <v>5</v>
      </c>
      <c r="H9" s="5" t="s">
        <v>12</v>
      </c>
      <c r="I9" s="10">
        <f t="shared" si="0"/>
        <v>18.085238</v>
      </c>
      <c r="J9" s="10">
        <f t="shared" si="1"/>
        <v>118.874551625</v>
      </c>
      <c r="K9" s="12">
        <f t="shared" si="2"/>
        <v>0</v>
      </c>
      <c r="L9" s="12">
        <f t="shared" si="3"/>
        <v>0.25</v>
      </c>
      <c r="M9" s="12">
        <f t="shared" si="4"/>
        <v>0</v>
      </c>
      <c r="N9" s="12">
        <f t="shared" si="5"/>
        <v>0</v>
      </c>
      <c r="O9" s="12">
        <f t="shared" si="6"/>
        <v>0.125</v>
      </c>
      <c r="P9" s="12">
        <f t="shared" si="7"/>
        <v>0.625</v>
      </c>
      <c r="Q9" s="6">
        <f t="shared" si="8"/>
        <v>7.125</v>
      </c>
    </row>
    <row r="10" spans="1:20" x14ac:dyDescent="0.3">
      <c r="A10" s="1">
        <v>8</v>
      </c>
      <c r="B10" t="s">
        <v>12</v>
      </c>
      <c r="C10">
        <v>18.085238</v>
      </c>
      <c r="D10">
        <v>1</v>
      </c>
      <c r="E10">
        <v>50.651536</v>
      </c>
      <c r="F10">
        <v>5</v>
      </c>
      <c r="H10" s="5" t="s">
        <v>20</v>
      </c>
      <c r="I10" s="10">
        <f t="shared" si="0"/>
        <v>0</v>
      </c>
      <c r="J10" s="10">
        <f t="shared" si="1"/>
        <v>0.4921026229858389</v>
      </c>
      <c r="K10" s="12">
        <f t="shared" si="2"/>
        <v>0</v>
      </c>
      <c r="L10" s="12">
        <f t="shared" si="3"/>
        <v>0.125</v>
      </c>
      <c r="M10" s="12">
        <f t="shared" si="4"/>
        <v>0.125</v>
      </c>
      <c r="N10" s="12">
        <f t="shared" si="5"/>
        <v>0.25</v>
      </c>
      <c r="O10" s="12">
        <f t="shared" si="6"/>
        <v>0.375</v>
      </c>
      <c r="P10" s="12">
        <f t="shared" si="7"/>
        <v>0.125</v>
      </c>
      <c r="Q10" s="7">
        <f t="shared" si="8"/>
        <v>4.875</v>
      </c>
    </row>
    <row r="11" spans="1:20" x14ac:dyDescent="0.3">
      <c r="A11" s="1">
        <v>9</v>
      </c>
      <c r="B11" t="s">
        <v>12</v>
      </c>
      <c r="C11">
        <v>18.085238</v>
      </c>
      <c r="D11">
        <v>2</v>
      </c>
      <c r="E11">
        <v>66.437286</v>
      </c>
      <c r="F11">
        <v>5</v>
      </c>
      <c r="G11" s="9"/>
    </row>
    <row r="12" spans="1:20" x14ac:dyDescent="0.3">
      <c r="A12" s="1">
        <v>10</v>
      </c>
      <c r="B12" t="s">
        <v>12</v>
      </c>
      <c r="C12">
        <v>18.085238</v>
      </c>
      <c r="D12">
        <v>3</v>
      </c>
      <c r="E12">
        <v>317.70923299999998</v>
      </c>
      <c r="F12">
        <v>5</v>
      </c>
      <c r="I12" s="20" t="s">
        <v>30</v>
      </c>
      <c r="J12" s="20"/>
      <c r="K12" s="20"/>
      <c r="L12" s="20"/>
      <c r="M12" s="20"/>
      <c r="N12" s="20"/>
    </row>
    <row r="13" spans="1:20" x14ac:dyDescent="0.3">
      <c r="A13" s="1">
        <v>11</v>
      </c>
      <c r="B13" t="s">
        <v>12</v>
      </c>
      <c r="C13">
        <v>18.085238</v>
      </c>
      <c r="D13">
        <v>4</v>
      </c>
      <c r="E13">
        <v>102.177893</v>
      </c>
      <c r="F13">
        <v>4</v>
      </c>
      <c r="H13" s="4" t="s">
        <v>21</v>
      </c>
      <c r="I13" s="5">
        <v>0</v>
      </c>
      <c r="J13" s="5">
        <v>1</v>
      </c>
      <c r="K13" s="5">
        <v>2</v>
      </c>
      <c r="L13" s="5">
        <v>3</v>
      </c>
      <c r="M13" s="5">
        <v>4</v>
      </c>
      <c r="N13" s="5">
        <v>5</v>
      </c>
    </row>
    <row r="14" spans="1:20" x14ac:dyDescent="0.3">
      <c r="A14" s="1">
        <v>12</v>
      </c>
      <c r="B14" t="s">
        <v>12</v>
      </c>
      <c r="C14">
        <v>18.085238</v>
      </c>
      <c r="D14">
        <v>5</v>
      </c>
      <c r="E14">
        <v>67.886846000000006</v>
      </c>
      <c r="F14">
        <v>5</v>
      </c>
      <c r="H14" s="5">
        <v>1</v>
      </c>
      <c r="I14" s="8">
        <f t="shared" ref="I14:N21" si="9">COUNTIFS($D:$D,$H14,$F:$F,I$13)/(COUNTIFS($D:$D,$H14))</f>
        <v>0</v>
      </c>
      <c r="J14" s="8">
        <f t="shared" si="9"/>
        <v>0.2</v>
      </c>
      <c r="K14" s="8">
        <f t="shared" si="9"/>
        <v>0</v>
      </c>
      <c r="L14" s="8">
        <f t="shared" si="9"/>
        <v>0</v>
      </c>
      <c r="M14" s="8">
        <f t="shared" si="9"/>
        <v>0</v>
      </c>
      <c r="N14" s="8">
        <f t="shared" si="9"/>
        <v>0.8</v>
      </c>
    </row>
    <row r="15" spans="1:20" x14ac:dyDescent="0.3">
      <c r="A15" s="1">
        <v>13</v>
      </c>
      <c r="B15" t="s">
        <v>12</v>
      </c>
      <c r="C15">
        <v>18.085238</v>
      </c>
      <c r="D15">
        <v>6</v>
      </c>
      <c r="E15">
        <v>115.84184</v>
      </c>
      <c r="F15">
        <v>1</v>
      </c>
      <c r="H15" s="5">
        <v>2</v>
      </c>
      <c r="I15" s="8">
        <f t="shared" si="9"/>
        <v>0</v>
      </c>
      <c r="J15" s="8">
        <f t="shared" si="9"/>
        <v>0</v>
      </c>
      <c r="K15" s="8">
        <f t="shared" si="9"/>
        <v>0</v>
      </c>
      <c r="L15" s="8">
        <f t="shared" si="9"/>
        <v>0</v>
      </c>
      <c r="M15" s="8">
        <f t="shared" si="9"/>
        <v>0</v>
      </c>
      <c r="N15" s="8">
        <f t="shared" si="9"/>
        <v>1</v>
      </c>
    </row>
    <row r="16" spans="1:20" x14ac:dyDescent="0.3">
      <c r="A16" s="1">
        <v>14</v>
      </c>
      <c r="B16" t="s">
        <v>12</v>
      </c>
      <c r="C16">
        <v>18.085238</v>
      </c>
      <c r="D16">
        <v>7</v>
      </c>
      <c r="E16">
        <v>125.066075</v>
      </c>
      <c r="F16">
        <v>1</v>
      </c>
      <c r="H16" s="5">
        <v>3</v>
      </c>
      <c r="I16" s="8">
        <f t="shared" si="9"/>
        <v>0</v>
      </c>
      <c r="J16" s="8">
        <f t="shared" si="9"/>
        <v>0</v>
      </c>
      <c r="K16" s="8">
        <f t="shared" si="9"/>
        <v>0</v>
      </c>
      <c r="L16" s="8">
        <f t="shared" si="9"/>
        <v>0.2</v>
      </c>
      <c r="M16" s="8">
        <f t="shared" si="9"/>
        <v>0</v>
      </c>
      <c r="N16" s="8">
        <f t="shared" si="9"/>
        <v>0.8</v>
      </c>
    </row>
    <row r="17" spans="1:37" x14ac:dyDescent="0.3">
      <c r="A17" s="1">
        <v>15</v>
      </c>
      <c r="B17" t="s">
        <v>12</v>
      </c>
      <c r="C17">
        <v>18.085238</v>
      </c>
      <c r="D17">
        <v>8</v>
      </c>
      <c r="E17">
        <v>105.22570399999999</v>
      </c>
      <c r="F17">
        <v>5</v>
      </c>
      <c r="H17" s="5">
        <v>4</v>
      </c>
      <c r="I17" s="8">
        <f t="shared" si="9"/>
        <v>0</v>
      </c>
      <c r="J17" s="8">
        <f t="shared" si="9"/>
        <v>0</v>
      </c>
      <c r="K17" s="8">
        <f t="shared" si="9"/>
        <v>0</v>
      </c>
      <c r="L17" s="8">
        <f t="shared" si="9"/>
        <v>0</v>
      </c>
      <c r="M17" s="8">
        <f t="shared" si="9"/>
        <v>0.4</v>
      </c>
      <c r="N17" s="8">
        <f t="shared" si="9"/>
        <v>0.6</v>
      </c>
    </row>
    <row r="18" spans="1:37" x14ac:dyDescent="0.3">
      <c r="A18" s="1">
        <v>16</v>
      </c>
      <c r="B18" t="s">
        <v>10</v>
      </c>
      <c r="C18">
        <v>19.602339000000001</v>
      </c>
      <c r="D18">
        <v>1</v>
      </c>
      <c r="E18">
        <v>146.10684699999999</v>
      </c>
      <c r="F18">
        <v>5</v>
      </c>
      <c r="H18" s="5">
        <v>5</v>
      </c>
      <c r="I18" s="8">
        <f t="shared" si="9"/>
        <v>0</v>
      </c>
      <c r="J18" s="8">
        <f t="shared" si="9"/>
        <v>0</v>
      </c>
      <c r="K18" s="8">
        <f t="shared" si="9"/>
        <v>0</v>
      </c>
      <c r="L18" s="8">
        <f t="shared" si="9"/>
        <v>0.2</v>
      </c>
      <c r="M18" s="8">
        <f t="shared" si="9"/>
        <v>0.2</v>
      </c>
      <c r="N18" s="8">
        <f t="shared" si="9"/>
        <v>0.6</v>
      </c>
    </row>
    <row r="19" spans="1:37" x14ac:dyDescent="0.3">
      <c r="A19" s="1">
        <v>17</v>
      </c>
      <c r="B19" t="s">
        <v>10</v>
      </c>
      <c r="C19">
        <v>19.602339000000001</v>
      </c>
      <c r="D19">
        <v>2</v>
      </c>
      <c r="E19">
        <v>217.477</v>
      </c>
      <c r="F19">
        <v>5</v>
      </c>
      <c r="H19" s="5">
        <v>6</v>
      </c>
      <c r="I19" s="8">
        <f t="shared" si="9"/>
        <v>0</v>
      </c>
      <c r="J19" s="8">
        <f t="shared" si="9"/>
        <v>0.2</v>
      </c>
      <c r="K19" s="8">
        <f t="shared" si="9"/>
        <v>0.2</v>
      </c>
      <c r="L19" s="8">
        <f t="shared" si="9"/>
        <v>0.4</v>
      </c>
      <c r="M19" s="8">
        <f t="shared" si="9"/>
        <v>0</v>
      </c>
      <c r="N19" s="8">
        <f t="shared" si="9"/>
        <v>0.2</v>
      </c>
      <c r="AF19" s="13"/>
    </row>
    <row r="20" spans="1:37" x14ac:dyDescent="0.3">
      <c r="A20" s="1">
        <v>18</v>
      </c>
      <c r="B20" t="s">
        <v>10</v>
      </c>
      <c r="C20">
        <v>19.602339000000001</v>
      </c>
      <c r="D20">
        <v>3</v>
      </c>
      <c r="E20">
        <v>522.48637099999996</v>
      </c>
      <c r="F20">
        <v>5</v>
      </c>
      <c r="H20" s="5">
        <v>7</v>
      </c>
      <c r="I20" s="8">
        <f t="shared" si="9"/>
        <v>0</v>
      </c>
      <c r="J20" s="8">
        <f t="shared" si="9"/>
        <v>0.8</v>
      </c>
      <c r="K20" s="8">
        <f t="shared" si="9"/>
        <v>0</v>
      </c>
      <c r="L20" s="8">
        <f t="shared" si="9"/>
        <v>0</v>
      </c>
      <c r="M20" s="8">
        <f t="shared" si="9"/>
        <v>0.2</v>
      </c>
      <c r="N20" s="8">
        <f t="shared" si="9"/>
        <v>0</v>
      </c>
      <c r="S20" s="17" t="s">
        <v>32</v>
      </c>
      <c r="T20" s="18"/>
      <c r="U20" s="19"/>
      <c r="X20" s="17" t="s">
        <v>33</v>
      </c>
      <c r="Y20" s="21"/>
      <c r="Z20" s="22"/>
      <c r="AJ20" s="13"/>
      <c r="AK20" s="13"/>
    </row>
    <row r="21" spans="1:37" x14ac:dyDescent="0.3">
      <c r="A21" s="1">
        <v>19</v>
      </c>
      <c r="B21" t="s">
        <v>10</v>
      </c>
      <c r="C21">
        <v>19.602339000000001</v>
      </c>
      <c r="D21">
        <v>4</v>
      </c>
      <c r="E21">
        <v>256.28301299999998</v>
      </c>
      <c r="F21">
        <v>5</v>
      </c>
      <c r="H21" s="5">
        <v>8</v>
      </c>
      <c r="I21" s="8">
        <f t="shared" si="9"/>
        <v>0</v>
      </c>
      <c r="J21" s="8">
        <f t="shared" si="9"/>
        <v>0</v>
      </c>
      <c r="K21" s="8">
        <f t="shared" si="9"/>
        <v>0</v>
      </c>
      <c r="L21" s="8">
        <f t="shared" si="9"/>
        <v>0</v>
      </c>
      <c r="M21" s="8">
        <f t="shared" si="9"/>
        <v>0.2</v>
      </c>
      <c r="N21" s="8">
        <f t="shared" si="9"/>
        <v>0.8</v>
      </c>
      <c r="R21" s="1" t="s">
        <v>13</v>
      </c>
      <c r="S21" s="1" t="s">
        <v>14</v>
      </c>
      <c r="T21" s="3" t="s">
        <v>15</v>
      </c>
      <c r="U21" s="4" t="s">
        <v>16</v>
      </c>
      <c r="X21" s="1" t="s">
        <v>14</v>
      </c>
      <c r="Y21" s="3" t="s">
        <v>15</v>
      </c>
      <c r="Z21" s="4" t="s">
        <v>16</v>
      </c>
      <c r="AJ21" s="16"/>
      <c r="AK21" s="16"/>
    </row>
    <row r="22" spans="1:37" x14ac:dyDescent="0.3">
      <c r="A22" s="1">
        <v>20</v>
      </c>
      <c r="B22" t="s">
        <v>10</v>
      </c>
      <c r="C22">
        <v>19.602339000000001</v>
      </c>
      <c r="D22">
        <v>5</v>
      </c>
      <c r="E22">
        <v>151.538297</v>
      </c>
      <c r="F22">
        <v>4</v>
      </c>
      <c r="R22" s="5" t="s">
        <v>5</v>
      </c>
      <c r="S22" s="10">
        <v>15.116710126399941</v>
      </c>
      <c r="T22" s="10">
        <v>104.29028272628764</v>
      </c>
      <c r="U22" s="6">
        <v>2.625</v>
      </c>
      <c r="X22" s="10">
        <v>7.9423277499999996</v>
      </c>
      <c r="Y22" s="10">
        <v>39.296003250000005</v>
      </c>
      <c r="Z22" s="6">
        <v>4.25</v>
      </c>
      <c r="AJ22" s="16"/>
      <c r="AK22" s="16"/>
    </row>
    <row r="23" spans="1:37" x14ac:dyDescent="0.3">
      <c r="A23" s="1">
        <v>21</v>
      </c>
      <c r="B23" t="s">
        <v>10</v>
      </c>
      <c r="C23">
        <v>19.602339000000001</v>
      </c>
      <c r="D23">
        <v>6</v>
      </c>
      <c r="E23">
        <v>233.17418699999999</v>
      </c>
      <c r="F23">
        <v>5</v>
      </c>
      <c r="I23" s="20" t="s">
        <v>31</v>
      </c>
      <c r="J23" s="20"/>
      <c r="K23" s="20"/>
      <c r="L23" s="20"/>
      <c r="M23" s="20"/>
      <c r="N23" s="20"/>
      <c r="R23" s="5" t="s">
        <v>6</v>
      </c>
      <c r="S23" s="10">
        <v>6.2938203811645499</v>
      </c>
      <c r="T23" s="10">
        <v>82.5782146453856</v>
      </c>
      <c r="U23" s="6">
        <v>5.5</v>
      </c>
      <c r="X23" s="10">
        <v>1.5915169999999998</v>
      </c>
      <c r="Y23" s="10">
        <v>68.876696375000009</v>
      </c>
      <c r="Z23" s="6">
        <v>5.25</v>
      </c>
      <c r="AJ23" s="16"/>
      <c r="AK23" s="16"/>
    </row>
    <row r="24" spans="1:37" x14ac:dyDescent="0.3">
      <c r="A24" s="1">
        <v>22</v>
      </c>
      <c r="B24" t="s">
        <v>10</v>
      </c>
      <c r="C24">
        <v>19.602339000000001</v>
      </c>
      <c r="D24">
        <v>7</v>
      </c>
      <c r="E24">
        <v>286.310519</v>
      </c>
      <c r="F24">
        <v>1</v>
      </c>
      <c r="H24" s="4" t="s">
        <v>21</v>
      </c>
      <c r="I24" s="5">
        <v>0</v>
      </c>
      <c r="J24" s="5">
        <v>1</v>
      </c>
      <c r="K24" s="5">
        <v>2</v>
      </c>
      <c r="L24" s="5">
        <v>3</v>
      </c>
      <c r="M24" s="5">
        <v>4</v>
      </c>
      <c r="N24" s="5">
        <v>5</v>
      </c>
      <c r="R24" s="5" t="s">
        <v>7</v>
      </c>
      <c r="S24" s="10">
        <v>0.57183408737182606</v>
      </c>
      <c r="T24" s="10">
        <v>15.729127764701802</v>
      </c>
      <c r="U24" s="6">
        <v>6.75</v>
      </c>
      <c r="X24" s="10">
        <v>7.7799529999999999</v>
      </c>
      <c r="Y24" s="10">
        <v>17.080232625000001</v>
      </c>
      <c r="Z24" s="6">
        <v>8</v>
      </c>
      <c r="AJ24" s="16"/>
      <c r="AK24" s="16"/>
    </row>
    <row r="25" spans="1:37" x14ac:dyDescent="0.3">
      <c r="A25" s="1">
        <v>23</v>
      </c>
      <c r="B25" t="s">
        <v>10</v>
      </c>
      <c r="C25">
        <v>19.602339000000001</v>
      </c>
      <c r="D25">
        <v>8</v>
      </c>
      <c r="E25">
        <v>141.485738</v>
      </c>
      <c r="F25">
        <v>5</v>
      </c>
      <c r="H25" s="5">
        <v>1</v>
      </c>
      <c r="I25" s="8">
        <f t="shared" ref="I25:N32" si="10">(COUNTIFS($D:$D,$H25,$F:$F,I$13)-COUNTIFS($D:$D,$H25,$F:$F,I$13,$B:$B,"FAISS"))/(COUNTIFS($D:$D,$H25)-1)</f>
        <v>0</v>
      </c>
      <c r="J25" s="8">
        <f t="shared" si="10"/>
        <v>0</v>
      </c>
      <c r="K25" s="8">
        <f t="shared" si="10"/>
        <v>0</v>
      </c>
      <c r="L25" s="8">
        <f t="shared" si="10"/>
        <v>0</v>
      </c>
      <c r="M25" s="8">
        <f t="shared" si="10"/>
        <v>0</v>
      </c>
      <c r="N25" s="8">
        <f t="shared" si="10"/>
        <v>1</v>
      </c>
      <c r="R25" s="5" t="s">
        <v>8</v>
      </c>
      <c r="S25" s="10">
        <v>6.1493330001830993</v>
      </c>
      <c r="T25" s="10">
        <v>48.888395100831936</v>
      </c>
      <c r="U25" s="6">
        <v>6</v>
      </c>
      <c r="W25" s="5" t="s">
        <v>8</v>
      </c>
      <c r="X25" s="10">
        <v>8.4192940000000007</v>
      </c>
      <c r="Y25" s="10">
        <v>21.346556875000001</v>
      </c>
      <c r="Z25" s="6">
        <v>9.625</v>
      </c>
      <c r="AJ25" s="16"/>
      <c r="AK25" s="16"/>
    </row>
    <row r="26" spans="1:37" x14ac:dyDescent="0.3">
      <c r="A26" s="1">
        <v>24</v>
      </c>
      <c r="B26" t="s">
        <v>9</v>
      </c>
      <c r="C26">
        <v>3.9469780000000001</v>
      </c>
      <c r="D26">
        <v>1</v>
      </c>
      <c r="E26">
        <v>116.602369</v>
      </c>
      <c r="F26">
        <v>5</v>
      </c>
      <c r="H26" s="5">
        <v>2</v>
      </c>
      <c r="I26" s="8">
        <f t="shared" si="10"/>
        <v>0</v>
      </c>
      <c r="J26" s="8">
        <f t="shared" si="10"/>
        <v>0</v>
      </c>
      <c r="K26" s="8">
        <f t="shared" si="10"/>
        <v>0</v>
      </c>
      <c r="L26" s="8">
        <f t="shared" si="10"/>
        <v>0</v>
      </c>
      <c r="M26" s="8">
        <f t="shared" si="10"/>
        <v>0</v>
      </c>
      <c r="N26" s="8">
        <f t="shared" si="10"/>
        <v>1</v>
      </c>
      <c r="R26" s="5" t="s">
        <v>9</v>
      </c>
      <c r="S26" s="10">
        <v>29.326041460037199</v>
      </c>
      <c r="T26" s="10">
        <v>16.828137874603236</v>
      </c>
      <c r="U26" s="6">
        <v>6.75</v>
      </c>
      <c r="W26" s="5" t="s">
        <v>9</v>
      </c>
      <c r="X26" s="10">
        <v>50.89773000000001</v>
      </c>
      <c r="Y26" s="10">
        <v>5.4723349999999993</v>
      </c>
      <c r="Z26" s="6">
        <v>9.625</v>
      </c>
      <c r="AJ26" s="16"/>
      <c r="AK26" s="16"/>
    </row>
    <row r="27" spans="1:37" x14ac:dyDescent="0.3">
      <c r="A27" s="1">
        <v>25</v>
      </c>
      <c r="B27" t="s">
        <v>9</v>
      </c>
      <c r="C27">
        <v>3.9469780000000001</v>
      </c>
      <c r="D27">
        <v>2</v>
      </c>
      <c r="E27">
        <v>88.639240000000001</v>
      </c>
      <c r="F27">
        <v>5</v>
      </c>
      <c r="H27" s="5">
        <v>3</v>
      </c>
      <c r="I27" s="8">
        <f t="shared" si="10"/>
        <v>0</v>
      </c>
      <c r="J27" s="8">
        <f t="shared" si="10"/>
        <v>0</v>
      </c>
      <c r="K27" s="8">
        <f t="shared" si="10"/>
        <v>0</v>
      </c>
      <c r="L27" s="8">
        <f t="shared" si="10"/>
        <v>0</v>
      </c>
      <c r="M27" s="8">
        <f t="shared" si="10"/>
        <v>0</v>
      </c>
      <c r="N27" s="8">
        <f t="shared" si="10"/>
        <v>1</v>
      </c>
      <c r="R27" s="5" t="s">
        <v>10</v>
      </c>
      <c r="S27" s="10">
        <v>24.744769573211599</v>
      </c>
      <c r="T27" s="10">
        <v>172.52221432328173</v>
      </c>
      <c r="U27" s="6">
        <v>7.25</v>
      </c>
      <c r="W27" s="5" t="s">
        <v>10</v>
      </c>
      <c r="X27" s="10">
        <v>16.371701000000002</v>
      </c>
      <c r="Y27" s="10">
        <v>73.259225999999998</v>
      </c>
      <c r="Z27" s="6">
        <v>9.625</v>
      </c>
      <c r="AJ27" s="16"/>
      <c r="AK27" s="16"/>
    </row>
    <row r="28" spans="1:37" x14ac:dyDescent="0.3">
      <c r="A28" s="1">
        <v>26</v>
      </c>
      <c r="B28" t="s">
        <v>9</v>
      </c>
      <c r="C28">
        <v>3.9469780000000001</v>
      </c>
      <c r="D28">
        <v>3</v>
      </c>
      <c r="E28">
        <v>378.43548900000002</v>
      </c>
      <c r="F28">
        <v>5</v>
      </c>
      <c r="H28" s="5">
        <v>4</v>
      </c>
      <c r="I28" s="8">
        <f t="shared" si="10"/>
        <v>0</v>
      </c>
      <c r="J28" s="8">
        <f t="shared" si="10"/>
        <v>0</v>
      </c>
      <c r="K28" s="8">
        <f t="shared" si="10"/>
        <v>0</v>
      </c>
      <c r="L28" s="8">
        <f t="shared" si="10"/>
        <v>0</v>
      </c>
      <c r="M28" s="8">
        <f t="shared" si="10"/>
        <v>0.25</v>
      </c>
      <c r="N28" s="8">
        <f t="shared" si="10"/>
        <v>0.75</v>
      </c>
      <c r="R28" s="5" t="s">
        <v>11</v>
      </c>
      <c r="S28" s="10">
        <v>21.0900430679321</v>
      </c>
      <c r="T28" s="10">
        <v>189.03942281007713</v>
      </c>
      <c r="U28" s="6">
        <v>5.875</v>
      </c>
      <c r="X28" s="10">
        <v>38.271470999999998</v>
      </c>
      <c r="Y28" s="10">
        <v>191.752763125</v>
      </c>
      <c r="Z28" s="6">
        <v>8.75</v>
      </c>
      <c r="AJ28" s="16"/>
      <c r="AK28" s="16"/>
    </row>
    <row r="29" spans="1:37" x14ac:dyDescent="0.3">
      <c r="A29" s="1">
        <v>27</v>
      </c>
      <c r="B29" t="s">
        <v>9</v>
      </c>
      <c r="C29">
        <v>3.9469780000000001</v>
      </c>
      <c r="D29">
        <v>4</v>
      </c>
      <c r="E29">
        <v>92.968480999999997</v>
      </c>
      <c r="F29">
        <v>5</v>
      </c>
      <c r="H29" s="5">
        <v>5</v>
      </c>
      <c r="I29" s="8">
        <f t="shared" si="10"/>
        <v>0</v>
      </c>
      <c r="J29" s="8">
        <f t="shared" si="10"/>
        <v>0</v>
      </c>
      <c r="K29" s="8">
        <f t="shared" si="10"/>
        <v>0</v>
      </c>
      <c r="L29" s="8">
        <f t="shared" si="10"/>
        <v>0</v>
      </c>
      <c r="M29" s="8">
        <f t="shared" si="10"/>
        <v>0.25</v>
      </c>
      <c r="N29" s="8">
        <f t="shared" si="10"/>
        <v>0.75</v>
      </c>
      <c r="R29" s="5" t="s">
        <v>12</v>
      </c>
      <c r="S29" s="10">
        <v>11.562474727630599</v>
      </c>
      <c r="T29" s="10">
        <v>390.28527048230137</v>
      </c>
      <c r="U29" s="6">
        <v>7.25</v>
      </c>
      <c r="W29" s="5" t="s">
        <v>12</v>
      </c>
      <c r="X29" s="10">
        <v>15.822520999999998</v>
      </c>
      <c r="Y29" s="10">
        <v>83.757822374999989</v>
      </c>
      <c r="Z29" s="6">
        <v>9.625</v>
      </c>
      <c r="AJ29" s="16"/>
      <c r="AK29" s="16"/>
    </row>
    <row r="30" spans="1:37" x14ac:dyDescent="0.3">
      <c r="A30" s="1">
        <v>28</v>
      </c>
      <c r="B30" t="s">
        <v>9</v>
      </c>
      <c r="C30">
        <v>3.9469780000000001</v>
      </c>
      <c r="D30">
        <v>5</v>
      </c>
      <c r="E30">
        <v>47.411664000000002</v>
      </c>
      <c r="F30">
        <v>5</v>
      </c>
      <c r="H30" s="5">
        <v>6</v>
      </c>
      <c r="I30" s="8">
        <f t="shared" si="10"/>
        <v>0</v>
      </c>
      <c r="J30" s="8">
        <f t="shared" si="10"/>
        <v>0.25</v>
      </c>
      <c r="K30" s="8">
        <f t="shared" si="10"/>
        <v>0</v>
      </c>
      <c r="L30" s="8">
        <f t="shared" si="10"/>
        <v>0.5</v>
      </c>
      <c r="M30" s="8">
        <f t="shared" si="10"/>
        <v>0</v>
      </c>
      <c r="N30" s="8">
        <f t="shared" si="10"/>
        <v>0.25</v>
      </c>
      <c r="R30" s="5" t="s">
        <v>20</v>
      </c>
      <c r="S30" s="10">
        <v>0</v>
      </c>
      <c r="T30" s="10">
        <v>0.4921026229858389</v>
      </c>
      <c r="U30" s="7">
        <v>4.875</v>
      </c>
      <c r="X30" s="10">
        <v>0</v>
      </c>
      <c r="Y30" s="10">
        <v>0.4921026229858389</v>
      </c>
      <c r="Z30" s="7">
        <v>4.875</v>
      </c>
    </row>
    <row r="31" spans="1:37" x14ac:dyDescent="0.3">
      <c r="A31" s="1">
        <v>29</v>
      </c>
      <c r="B31" t="s">
        <v>9</v>
      </c>
      <c r="C31">
        <v>3.9469780000000001</v>
      </c>
      <c r="D31">
        <v>6</v>
      </c>
      <c r="E31">
        <v>88.339609999999993</v>
      </c>
      <c r="F31">
        <v>3</v>
      </c>
      <c r="H31" s="5">
        <v>7</v>
      </c>
      <c r="I31" s="8">
        <f t="shared" si="10"/>
        <v>0</v>
      </c>
      <c r="J31" s="8">
        <f t="shared" si="10"/>
        <v>1</v>
      </c>
      <c r="K31" s="8">
        <f t="shared" si="10"/>
        <v>0</v>
      </c>
      <c r="L31" s="8">
        <f t="shared" si="10"/>
        <v>0</v>
      </c>
      <c r="M31" s="8">
        <f t="shared" si="10"/>
        <v>0</v>
      </c>
      <c r="N31" s="8">
        <f t="shared" si="10"/>
        <v>0</v>
      </c>
    </row>
    <row r="32" spans="1:37" x14ac:dyDescent="0.3">
      <c r="A32" s="1">
        <v>30</v>
      </c>
      <c r="B32" t="s">
        <v>9</v>
      </c>
      <c r="C32">
        <v>3.9469780000000001</v>
      </c>
      <c r="D32">
        <v>7</v>
      </c>
      <c r="E32">
        <v>122.647775</v>
      </c>
      <c r="F32">
        <v>1</v>
      </c>
      <c r="H32" s="5">
        <v>8</v>
      </c>
      <c r="I32" s="8">
        <f t="shared" si="10"/>
        <v>0</v>
      </c>
      <c r="J32" s="8">
        <f t="shared" si="10"/>
        <v>0</v>
      </c>
      <c r="K32" s="8">
        <f t="shared" si="10"/>
        <v>0</v>
      </c>
      <c r="L32" s="8">
        <f t="shared" si="10"/>
        <v>0</v>
      </c>
      <c r="M32" s="8">
        <f t="shared" si="10"/>
        <v>0</v>
      </c>
      <c r="N32" s="8">
        <f t="shared" si="10"/>
        <v>1</v>
      </c>
    </row>
    <row r="33" spans="1:38" x14ac:dyDescent="0.3">
      <c r="A33" s="1">
        <v>31</v>
      </c>
      <c r="B33" t="s">
        <v>9</v>
      </c>
      <c r="C33">
        <v>3.9469780000000001</v>
      </c>
      <c r="D33">
        <v>8</v>
      </c>
      <c r="E33">
        <v>80.228520000000003</v>
      </c>
      <c r="F33">
        <v>5</v>
      </c>
    </row>
    <row r="34" spans="1:38" x14ac:dyDescent="0.3">
      <c r="A34" s="1">
        <v>32</v>
      </c>
      <c r="B34" t="s">
        <v>22</v>
      </c>
      <c r="C34">
        <v>0</v>
      </c>
      <c r="D34">
        <v>1</v>
      </c>
      <c r="E34">
        <v>1.2184805870056099</v>
      </c>
      <c r="F34">
        <v>1</v>
      </c>
      <c r="X34" s="17" t="s">
        <v>34</v>
      </c>
      <c r="Y34" s="18"/>
      <c r="Z34" s="19"/>
    </row>
    <row r="35" spans="1:38" x14ac:dyDescent="0.3">
      <c r="A35" s="1">
        <v>33</v>
      </c>
      <c r="B35" t="s">
        <v>22</v>
      </c>
      <c r="C35">
        <v>0</v>
      </c>
      <c r="D35">
        <v>2</v>
      </c>
      <c r="E35">
        <v>0.34383988380432101</v>
      </c>
      <c r="F35">
        <v>5</v>
      </c>
      <c r="W35" s="1" t="s">
        <v>13</v>
      </c>
      <c r="X35" s="1" t="s">
        <v>14</v>
      </c>
      <c r="Y35" s="3" t="s">
        <v>15</v>
      </c>
      <c r="Z35" s="4" t="s">
        <v>16</v>
      </c>
    </row>
    <row r="36" spans="1:38" x14ac:dyDescent="0.3">
      <c r="A36" s="1">
        <v>34</v>
      </c>
      <c r="B36" t="s">
        <v>22</v>
      </c>
      <c r="C36">
        <v>0</v>
      </c>
      <c r="D36">
        <v>3</v>
      </c>
      <c r="E36">
        <v>0.40618991851806602</v>
      </c>
      <c r="F36">
        <v>3</v>
      </c>
      <c r="W36" s="5" t="s">
        <v>8</v>
      </c>
      <c r="X36" s="10">
        <v>7.46</v>
      </c>
      <c r="Y36" s="10">
        <v>35.71</v>
      </c>
      <c r="Z36" s="6">
        <v>8.8800000000000008</v>
      </c>
    </row>
    <row r="37" spans="1:38" x14ac:dyDescent="0.3">
      <c r="A37" s="1">
        <v>35</v>
      </c>
      <c r="B37" t="s">
        <v>22</v>
      </c>
      <c r="C37">
        <v>0</v>
      </c>
      <c r="D37">
        <v>4</v>
      </c>
      <c r="E37">
        <v>0.37500047683715798</v>
      </c>
      <c r="F37">
        <v>4</v>
      </c>
      <c r="W37" s="5" t="s">
        <v>12</v>
      </c>
      <c r="X37" s="10">
        <v>18.850000000000001</v>
      </c>
      <c r="Y37" s="10">
        <v>142.63</v>
      </c>
      <c r="Z37" s="6">
        <v>8.5</v>
      </c>
    </row>
    <row r="38" spans="1:38" x14ac:dyDescent="0.3">
      <c r="A38" s="1">
        <v>36</v>
      </c>
      <c r="B38" t="s">
        <v>22</v>
      </c>
      <c r="C38">
        <v>0</v>
      </c>
      <c r="D38">
        <v>5</v>
      </c>
      <c r="E38">
        <v>0.42172551155090299</v>
      </c>
      <c r="F38">
        <v>3</v>
      </c>
      <c r="W38" s="5" t="s">
        <v>9</v>
      </c>
      <c r="X38" s="10">
        <v>51.93</v>
      </c>
      <c r="Y38" s="10">
        <v>94.87</v>
      </c>
      <c r="Z38" s="6">
        <v>8.75</v>
      </c>
    </row>
    <row r="39" spans="1:38" x14ac:dyDescent="0.3">
      <c r="A39" s="1">
        <v>37</v>
      </c>
      <c r="B39" t="s">
        <v>22</v>
      </c>
      <c r="C39">
        <v>0</v>
      </c>
      <c r="D39">
        <v>6</v>
      </c>
      <c r="E39">
        <v>0.40610909461975098</v>
      </c>
      <c r="F39">
        <v>2</v>
      </c>
      <c r="W39" s="5" t="s">
        <v>10</v>
      </c>
      <c r="X39" s="10">
        <v>19.46</v>
      </c>
      <c r="Y39" s="10">
        <v>259.13</v>
      </c>
      <c r="Z39" s="6">
        <v>8.5</v>
      </c>
    </row>
    <row r="40" spans="1:38" x14ac:dyDescent="0.3">
      <c r="A40" s="1">
        <v>38</v>
      </c>
      <c r="B40" t="s">
        <v>22</v>
      </c>
      <c r="C40">
        <v>0</v>
      </c>
      <c r="D40">
        <v>7</v>
      </c>
      <c r="E40">
        <v>0.35908317565917902</v>
      </c>
      <c r="F40">
        <v>4</v>
      </c>
      <c r="W40" s="5" t="s">
        <v>20</v>
      </c>
      <c r="X40" s="10">
        <v>0</v>
      </c>
      <c r="Y40" s="10">
        <v>0.4921026229858389</v>
      </c>
      <c r="Z40" s="7">
        <v>4.875</v>
      </c>
    </row>
    <row r="41" spans="1:38" x14ac:dyDescent="0.3">
      <c r="A41" s="1">
        <v>39</v>
      </c>
      <c r="B41" t="s">
        <v>22</v>
      </c>
      <c r="C41">
        <v>0</v>
      </c>
      <c r="D41">
        <v>8</v>
      </c>
      <c r="E41">
        <v>0.40639233589172302</v>
      </c>
      <c r="F41">
        <v>4</v>
      </c>
      <c r="W41" s="15"/>
    </row>
    <row r="42" spans="1:38" x14ac:dyDescent="0.3">
      <c r="A42" s="14"/>
    </row>
    <row r="43" spans="1:38" x14ac:dyDescent="0.3">
      <c r="A43" s="14"/>
      <c r="AC43" s="1" t="s">
        <v>13</v>
      </c>
      <c r="AD43" s="1" t="s">
        <v>14</v>
      </c>
      <c r="AE43" s="3" t="s">
        <v>15</v>
      </c>
      <c r="AF43" s="11" t="s">
        <v>26</v>
      </c>
      <c r="AG43" s="11" t="s">
        <v>23</v>
      </c>
      <c r="AH43" s="11" t="s">
        <v>27</v>
      </c>
      <c r="AI43" s="11" t="s">
        <v>25</v>
      </c>
      <c r="AJ43" s="11" t="s">
        <v>28</v>
      </c>
      <c r="AK43" s="11" t="s">
        <v>24</v>
      </c>
      <c r="AL43" s="4" t="s">
        <v>16</v>
      </c>
    </row>
    <row r="44" spans="1:38" x14ac:dyDescent="0.3">
      <c r="A44" s="14"/>
      <c r="X44" s="17" t="s">
        <v>34</v>
      </c>
      <c r="Y44" s="18"/>
      <c r="Z44" s="19"/>
      <c r="AC44" s="5" t="s">
        <v>8</v>
      </c>
      <c r="AD44" s="10">
        <v>6.2849760000000003</v>
      </c>
      <c r="AE44" s="10">
        <v>34.388758874999994</v>
      </c>
      <c r="AF44" s="12">
        <v>0</v>
      </c>
      <c r="AG44" s="12">
        <v>0.125</v>
      </c>
      <c r="AH44" s="12">
        <v>0</v>
      </c>
      <c r="AI44" s="12">
        <v>0.125</v>
      </c>
      <c r="AJ44" s="12">
        <v>0</v>
      </c>
      <c r="AK44" s="12">
        <v>0.75</v>
      </c>
      <c r="AL44" s="6">
        <v>8</v>
      </c>
    </row>
    <row r="45" spans="1:38" x14ac:dyDescent="0.3">
      <c r="A45" s="14"/>
      <c r="W45" s="1" t="s">
        <v>13</v>
      </c>
      <c r="X45" s="1" t="s">
        <v>14</v>
      </c>
      <c r="Y45" s="3" t="s">
        <v>15</v>
      </c>
      <c r="Z45" s="4" t="s">
        <v>16</v>
      </c>
      <c r="AC45" s="5" t="s">
        <v>12</v>
      </c>
      <c r="AD45" s="10">
        <v>18.085238</v>
      </c>
      <c r="AE45" s="10">
        <v>118.874551625</v>
      </c>
      <c r="AF45" s="12">
        <v>0</v>
      </c>
      <c r="AG45" s="12">
        <v>0.25</v>
      </c>
      <c r="AH45" s="12">
        <v>0</v>
      </c>
      <c r="AI45" s="12">
        <v>0</v>
      </c>
      <c r="AJ45" s="12">
        <v>0.125</v>
      </c>
      <c r="AK45" s="12">
        <v>0.625</v>
      </c>
      <c r="AL45" s="6">
        <v>7.125</v>
      </c>
    </row>
    <row r="46" spans="1:38" x14ac:dyDescent="0.3">
      <c r="A46" s="14"/>
      <c r="W46" s="5" t="s">
        <v>8</v>
      </c>
      <c r="X46" s="10">
        <v>6.2849760000000003</v>
      </c>
      <c r="Y46" s="10">
        <v>34.388758874999994</v>
      </c>
      <c r="Z46" s="6">
        <v>8</v>
      </c>
      <c r="AC46" s="5" t="s">
        <v>9</v>
      </c>
      <c r="AD46" s="10">
        <v>3.9469780000000005</v>
      </c>
      <c r="AE46" s="10">
        <v>126.9091435</v>
      </c>
      <c r="AF46" s="12">
        <v>0</v>
      </c>
      <c r="AG46" s="12">
        <v>0.125</v>
      </c>
      <c r="AH46" s="12">
        <v>0</v>
      </c>
      <c r="AI46" s="12">
        <v>0.125</v>
      </c>
      <c r="AJ46" s="12">
        <v>0</v>
      </c>
      <c r="AK46" s="12">
        <v>0.75</v>
      </c>
      <c r="AL46" s="6">
        <v>8</v>
      </c>
    </row>
    <row r="47" spans="1:38" x14ac:dyDescent="0.3">
      <c r="A47" s="14"/>
      <c r="W47" s="5" t="s">
        <v>12</v>
      </c>
      <c r="X47" s="10">
        <v>18.085238</v>
      </c>
      <c r="Y47" s="10">
        <v>118.874551625</v>
      </c>
      <c r="Z47" s="6">
        <v>7.125</v>
      </c>
      <c r="AC47" s="5" t="s">
        <v>10</v>
      </c>
      <c r="AD47" s="10">
        <v>19.602339000000001</v>
      </c>
      <c r="AE47" s="10">
        <v>244.35774650000005</v>
      </c>
      <c r="AF47" s="12">
        <v>0</v>
      </c>
      <c r="AG47" s="12">
        <v>0.125</v>
      </c>
      <c r="AH47" s="12">
        <v>0</v>
      </c>
      <c r="AI47" s="12">
        <v>0</v>
      </c>
      <c r="AJ47" s="12">
        <v>0.125</v>
      </c>
      <c r="AK47" s="12">
        <v>0.75</v>
      </c>
      <c r="AL47" s="6">
        <v>8.375</v>
      </c>
    </row>
    <row r="48" spans="1:38" x14ac:dyDescent="0.3">
      <c r="A48" s="14"/>
      <c r="W48" s="5" t="s">
        <v>9</v>
      </c>
      <c r="X48" s="10">
        <v>3.9469780000000005</v>
      </c>
      <c r="Y48" s="10">
        <v>126.9091435</v>
      </c>
      <c r="Z48" s="6">
        <v>8</v>
      </c>
      <c r="AC48" s="5" t="s">
        <v>20</v>
      </c>
      <c r="AD48" s="10">
        <v>0</v>
      </c>
      <c r="AE48" s="10">
        <v>0.4921026229858389</v>
      </c>
      <c r="AF48" s="12">
        <v>0</v>
      </c>
      <c r="AG48" s="12">
        <v>0.125</v>
      </c>
      <c r="AH48" s="12">
        <v>0.125</v>
      </c>
      <c r="AI48" s="12">
        <v>0.25</v>
      </c>
      <c r="AJ48" s="12">
        <v>0.375</v>
      </c>
      <c r="AK48" s="12">
        <v>0.125</v>
      </c>
      <c r="AL48" s="7">
        <v>4.875</v>
      </c>
    </row>
    <row r="49" spans="1:26" x14ac:dyDescent="0.3">
      <c r="A49" s="14"/>
      <c r="W49" s="5" t="s">
        <v>10</v>
      </c>
      <c r="X49" s="10">
        <v>19.602339000000001</v>
      </c>
      <c r="Y49" s="10">
        <v>244.35774650000005</v>
      </c>
      <c r="Z49" s="6">
        <v>8.375</v>
      </c>
    </row>
    <row r="50" spans="1:26" x14ac:dyDescent="0.3">
      <c r="A50" s="14"/>
      <c r="W50" s="5" t="s">
        <v>20</v>
      </c>
      <c r="X50" s="10">
        <v>0</v>
      </c>
      <c r="Y50" s="10">
        <v>0.4921026229858389</v>
      </c>
      <c r="Z50" s="7">
        <v>4.875</v>
      </c>
    </row>
    <row r="51" spans="1:26" x14ac:dyDescent="0.3">
      <c r="A51" s="14"/>
    </row>
    <row r="52" spans="1:26" x14ac:dyDescent="0.3">
      <c r="A52" s="14"/>
    </row>
    <row r="53" spans="1:26" x14ac:dyDescent="0.3">
      <c r="A53" s="14"/>
    </row>
    <row r="54" spans="1:26" x14ac:dyDescent="0.3">
      <c r="A54" s="14"/>
    </row>
    <row r="55" spans="1:26" x14ac:dyDescent="0.3">
      <c r="A55" s="14"/>
    </row>
    <row r="56" spans="1:26" x14ac:dyDescent="0.3">
      <c r="A56" s="14"/>
    </row>
    <row r="57" spans="1:26" x14ac:dyDescent="0.3">
      <c r="A57" s="14"/>
    </row>
    <row r="58" spans="1:26" x14ac:dyDescent="0.3">
      <c r="A58" s="14"/>
    </row>
    <row r="59" spans="1:26" x14ac:dyDescent="0.3">
      <c r="A59" s="14"/>
    </row>
    <row r="60" spans="1:26" x14ac:dyDescent="0.3">
      <c r="A60" s="14"/>
    </row>
    <row r="61" spans="1:26" x14ac:dyDescent="0.3">
      <c r="A61" s="14"/>
    </row>
    <row r="62" spans="1:26" x14ac:dyDescent="0.3">
      <c r="A62" s="14"/>
    </row>
    <row r="63" spans="1:26" x14ac:dyDescent="0.3">
      <c r="A63" s="14"/>
    </row>
    <row r="64" spans="1:26" x14ac:dyDescent="0.3">
      <c r="A64" s="14"/>
    </row>
    <row r="65" spans="1:8" x14ac:dyDescent="0.3">
      <c r="A65" s="14"/>
    </row>
    <row r="66" spans="1:8" x14ac:dyDescent="0.3">
      <c r="A66" s="14"/>
    </row>
    <row r="67" spans="1:8" x14ac:dyDescent="0.3">
      <c r="A67" s="14"/>
    </row>
    <row r="68" spans="1:8" x14ac:dyDescent="0.3">
      <c r="A68" s="14"/>
    </row>
    <row r="69" spans="1:8" x14ac:dyDescent="0.3">
      <c r="A69" s="14"/>
      <c r="H69" s="9"/>
    </row>
    <row r="70" spans="1:8" x14ac:dyDescent="0.3">
      <c r="A70" s="14"/>
    </row>
    <row r="71" spans="1:8" x14ac:dyDescent="0.3">
      <c r="A71" s="14"/>
    </row>
    <row r="72" spans="1:8" x14ac:dyDescent="0.3">
      <c r="A72" s="14"/>
    </row>
    <row r="73" spans="1:8" x14ac:dyDescent="0.3">
      <c r="A73" s="14"/>
    </row>
  </sheetData>
  <mergeCells count="6">
    <mergeCell ref="X44:Z44"/>
    <mergeCell ref="I12:N12"/>
    <mergeCell ref="I23:N23"/>
    <mergeCell ref="S20:U20"/>
    <mergeCell ref="X20:Z20"/>
    <mergeCell ref="X34:Z34"/>
  </mergeCells>
  <conditionalFormatting sqref="I14:N21">
    <cfRule type="colorScale" priority="18">
      <colorScale>
        <cfvo type="min"/>
        <cfvo type="max"/>
        <color rgb="FFFCFCFF"/>
        <color rgb="FF63BE7B"/>
      </colorScale>
    </cfRule>
  </conditionalFormatting>
  <conditionalFormatting sqref="I25:N32">
    <cfRule type="colorScale" priority="15">
      <colorScale>
        <cfvo type="min"/>
        <cfvo type="max"/>
        <color rgb="FFFCFCFF"/>
        <color rgb="FF63BE7B"/>
      </colorScale>
    </cfRule>
  </conditionalFormatting>
  <conditionalFormatting sqref="K2:P10">
    <cfRule type="colorScale" priority="19">
      <colorScale>
        <cfvo type="min"/>
        <cfvo type="max"/>
        <color rgb="FFFCFCFF"/>
        <color rgb="FF63BE7B"/>
      </colorScale>
    </cfRule>
  </conditionalFormatting>
  <conditionalFormatting sqref="Q2:Q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:U3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6:Z5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2:Z3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6:Z40 W4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:AK29">
    <cfRule type="colorScale" priority="23">
      <colorScale>
        <cfvo type="min"/>
        <cfvo type="max"/>
        <color rgb="FFFCFCFF"/>
        <color rgb="FF63BE7B"/>
      </colorScale>
    </cfRule>
  </conditionalFormatting>
  <conditionalFormatting sqref="AF44:AK48">
    <cfRule type="colorScale" priority="30">
      <colorScale>
        <cfvo type="min"/>
        <cfvo type="max"/>
        <color rgb="FFFCFCFF"/>
        <color rgb="FF63BE7B"/>
      </colorScale>
    </cfRule>
  </conditionalFormatting>
  <conditionalFormatting sqref="AL44:AL48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AB-1DB6-498D-B938-32788A53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2025-05-29T20:47:07Z</dcterms:created>
  <dcterms:modified xsi:type="dcterms:W3CDTF">2025-11-25T21:31:10Z</dcterms:modified>
</cp:coreProperties>
</file>